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PRENDIZ\Downloads\"/>
    </mc:Choice>
  </mc:AlternateContent>
  <xr:revisionPtr revIDLastSave="0" documentId="8_{EDF2534D-BA23-4CB1-A75C-5E1D9170086C}" xr6:coauthVersionLast="47" xr6:coauthVersionMax="47" xr10:uidLastSave="{00000000-0000-0000-0000-000000000000}"/>
  <bookViews>
    <workbookView xWindow="-120" yWindow="-120" windowWidth="29040" windowHeight="15840" xr2:uid="{00000000-000D-0000-FFFF-FFFF00000000}"/>
  </bookViews>
  <sheets>
    <sheet name="Torre admin" sheetId="1" r:id="rId1"/>
    <sheet name="Monitor Admin" sheetId="2" r:id="rId2"/>
    <sheet name="Disco Sólido Admin" sheetId="3" r:id="rId3"/>
    <sheet name="Disco duro interno Admin" sheetId="4" r:id="rId4"/>
    <sheet name="Servidor Admin" sheetId="5" r:id="rId5"/>
    <sheet name="RAM Admin" sheetId="6" r:id="rId6"/>
    <sheet name="Teclado Admin" sheetId="7" r:id="rId7"/>
    <sheet name="Mouse Admin" sheetId="8" r:id="rId8"/>
    <sheet name="Equipo Portátil Desarrolladores" sheetId="9" r:id="rId9"/>
    <sheet name="Monitor Desarrolladores" sheetId="10" r:id="rId10"/>
    <sheet name=" Disco mecánico Desarrolladores" sheetId="11" r:id="rId11"/>
    <sheet name=" Servidor Desarrolladores" sheetId="13" r:id="rId12"/>
    <sheet name="RAM Desarrolladores" sheetId="12" r:id="rId13"/>
    <sheet name="Tarjeta de video Desarrolladore" sheetId="14" r:id="rId14"/>
    <sheet name="Procesador Desarrolladores" sheetId="15" r:id="rId15"/>
    <sheet name="Teclado Desarrolladores" sheetId="16" r:id="rId16"/>
    <sheet name="Mouse Desarrolladores" sheetId="17" r:id="rId17"/>
    <sheet name="software licencia" sheetId="18" r:id="rId18"/>
    <sheet name="licencia visual" sheetId="19" r:id="rId19"/>
    <sheet name="windows 11 licencia" sheetId="20" r:id="rId20"/>
    <sheet name="licencia SQL" sheetId="21"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5" roundtripDataChecksum="dple+E52BW4gQwl7jwml3EEemBchMV8NJM0dmOZrTAc="/>
    </ext>
  </extLst>
</workbook>
</file>

<file path=xl/calcChain.xml><?xml version="1.0" encoding="utf-8"?>
<calcChain xmlns="http://schemas.openxmlformats.org/spreadsheetml/2006/main">
  <c r="F8" i="12" l="1"/>
  <c r="G8" i="12" s="1"/>
  <c r="H8" i="12" s="1"/>
  <c r="F9" i="12"/>
  <c r="G9" i="12" s="1"/>
  <c r="H9" i="12" s="1"/>
  <c r="F10" i="12"/>
  <c r="G10" i="12" s="1"/>
  <c r="H10" i="12" s="1"/>
  <c r="G9" i="21"/>
  <c r="H9" i="21" s="1"/>
  <c r="G10" i="21"/>
  <c r="H10" i="21" s="1"/>
  <c r="G8" i="21"/>
  <c r="H8" i="21" s="1"/>
  <c r="F8" i="21"/>
  <c r="H9" i="18"/>
  <c r="H9" i="16"/>
  <c r="H10" i="16"/>
  <c r="H8" i="16"/>
  <c r="H10" i="14"/>
  <c r="F8" i="20"/>
  <c r="G8" i="20" s="1"/>
  <c r="H8" i="20" s="1"/>
  <c r="F9" i="20"/>
  <c r="G9" i="20"/>
  <c r="H9" i="20" s="1"/>
  <c r="F10" i="20"/>
  <c r="G10" i="20"/>
  <c r="H10" i="20" s="1"/>
  <c r="F8" i="19"/>
  <c r="G8" i="19" s="1"/>
  <c r="H8" i="19" s="1"/>
  <c r="F9" i="19"/>
  <c r="G9" i="19" s="1"/>
  <c r="H9" i="19" s="1"/>
  <c r="F10" i="19"/>
  <c r="G10" i="19"/>
  <c r="H10" i="19" s="1"/>
  <c r="F9" i="21"/>
  <c r="F10" i="21"/>
  <c r="F9" i="18"/>
  <c r="G9" i="18"/>
  <c r="F10" i="18"/>
  <c r="G10" i="18"/>
  <c r="H10" i="18" s="1"/>
  <c r="F8" i="18"/>
  <c r="G8" i="18" s="1"/>
  <c r="H8" i="18" s="1"/>
  <c r="F9" i="17"/>
  <c r="G9" i="17"/>
  <c r="H9" i="17" s="1"/>
  <c r="F10" i="17"/>
  <c r="G10" i="17"/>
  <c r="H10" i="17" s="1"/>
  <c r="F8" i="17"/>
  <c r="G8" i="17"/>
  <c r="H8" i="17" s="1"/>
  <c r="F9" i="16"/>
  <c r="G9" i="16"/>
  <c r="F10" i="16"/>
  <c r="G10" i="16"/>
  <c r="F8" i="16"/>
  <c r="G8" i="16"/>
  <c r="F9" i="15"/>
  <c r="G9" i="15" s="1"/>
  <c r="H9" i="15" s="1"/>
  <c r="F10" i="15"/>
  <c r="G10" i="15"/>
  <c r="H10" i="15" s="1"/>
  <c r="F8" i="15"/>
  <c r="G8" i="15"/>
  <c r="H8" i="15" s="1"/>
  <c r="F9" i="14"/>
  <c r="G9" i="14" s="1"/>
  <c r="H9" i="14" s="1"/>
  <c r="F10" i="14"/>
  <c r="G10" i="14"/>
  <c r="F8" i="14"/>
  <c r="G8" i="14"/>
  <c r="H8" i="14" s="1"/>
  <c r="F8" i="13"/>
  <c r="G8" i="13" s="1"/>
  <c r="H8" i="13" s="1"/>
  <c r="F9" i="13"/>
  <c r="G9" i="13"/>
  <c r="H9" i="13" s="1"/>
  <c r="F10" i="13"/>
  <c r="G10" i="13"/>
  <c r="H10" i="13" s="1"/>
  <c r="F9" i="11"/>
  <c r="G9" i="11"/>
  <c r="H9" i="11" s="1"/>
  <c r="F10" i="11"/>
  <c r="G10" i="11"/>
  <c r="H10" i="11" s="1"/>
  <c r="F8" i="11"/>
  <c r="G8" i="11"/>
  <c r="H8" i="11" s="1"/>
  <c r="F9" i="10"/>
  <c r="G9" i="10"/>
  <c r="H9" i="10" s="1"/>
  <c r="F10" i="10"/>
  <c r="G10" i="10"/>
  <c r="H10" i="10" s="1"/>
  <c r="F8" i="10"/>
  <c r="G8" i="10" s="1"/>
  <c r="H8" i="10" s="1"/>
  <c r="F9" i="9"/>
  <c r="G9" i="9"/>
  <c r="H9" i="9" s="1"/>
  <c r="F10" i="9"/>
  <c r="G10" i="9"/>
  <c r="H10" i="9" s="1"/>
  <c r="F8" i="9"/>
  <c r="G8" i="9" s="1"/>
  <c r="H8" i="9" s="1"/>
  <c r="F9" i="8"/>
  <c r="G9" i="8"/>
  <c r="H9" i="8" s="1"/>
  <c r="F10" i="8"/>
  <c r="G10" i="8"/>
  <c r="H10" i="8" s="1"/>
  <c r="F8" i="8"/>
  <c r="G8" i="8" s="1"/>
  <c r="H8" i="8" s="1"/>
  <c r="F10" i="7"/>
  <c r="G10" i="7"/>
  <c r="H10" i="7" s="1"/>
  <c r="F9" i="7"/>
  <c r="G9" i="7" s="1"/>
  <c r="H9" i="7" s="1"/>
  <c r="F8" i="7"/>
  <c r="G8" i="7"/>
  <c r="H8" i="7" s="1"/>
  <c r="F9" i="6"/>
  <c r="G9" i="6" s="1"/>
  <c r="H9" i="6" s="1"/>
  <c r="F10" i="6"/>
  <c r="G10" i="6" s="1"/>
  <c r="H10" i="6" s="1"/>
  <c r="F8" i="6"/>
  <c r="G8" i="6" s="1"/>
  <c r="H8" i="6" s="1"/>
  <c r="F9" i="5"/>
  <c r="G9" i="5"/>
  <c r="H9" i="5" s="1"/>
  <c r="F10" i="5"/>
  <c r="G10" i="5"/>
  <c r="H10" i="5" s="1"/>
  <c r="F8" i="5"/>
  <c r="G8" i="5"/>
  <c r="H8" i="5" s="1"/>
  <c r="F9" i="4"/>
  <c r="G9" i="4" s="1"/>
  <c r="H9" i="4" s="1"/>
  <c r="F10" i="4"/>
  <c r="G10" i="4" s="1"/>
  <c r="H10" i="4" s="1"/>
  <c r="F8" i="4"/>
  <c r="G8" i="4"/>
  <c r="H8" i="4" s="1"/>
  <c r="G9" i="3"/>
  <c r="H9" i="3" s="1"/>
  <c r="G10" i="3"/>
  <c r="H10" i="3" s="1"/>
  <c r="G8" i="3"/>
  <c r="H8" i="3" s="1"/>
  <c r="G10" i="2"/>
  <c r="H10" i="2" s="1"/>
  <c r="G9" i="2"/>
  <c r="H9" i="2" s="1"/>
  <c r="G8" i="2"/>
  <c r="H8" i="2" s="1"/>
  <c r="G9" i="1"/>
  <c r="H9" i="1" s="1"/>
  <c r="G10" i="1"/>
  <c r="H10" i="1" s="1"/>
  <c r="G8" i="1"/>
  <c r="H8" i="1" s="1"/>
  <c r="G11" i="18"/>
</calcChain>
</file>

<file path=xl/sharedStrings.xml><?xml version="1.0" encoding="utf-8"?>
<sst xmlns="http://schemas.openxmlformats.org/spreadsheetml/2006/main" count="453" uniqueCount="82">
  <si>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</si>
  <si>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</si>
  <si>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</si>
  <si>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</si>
  <si>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</si>
  <si>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</si>
  <si>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</si>
  <si>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</si>
  <si>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</si>
  <si>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</si>
  <si>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</si>
  <si>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</si>
  <si>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</si>
  <si>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 xml:space="preserve">MERCADO LIBRE </t>
  </si>
  <si>
    <t>CONTADO</t>
  </si>
  <si>
    <t xml:space="preserve">Nº2 </t>
  </si>
  <si>
    <t>Nº 3</t>
  </si>
  <si>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</si>
  <si>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t>Empresa</t>
    </r>
    <r>
      <rPr>
        <i/>
        <sz val="10"/>
        <color theme="1"/>
        <rFont val="Arial"/>
        <family val="2"/>
        <scheme val="major"/>
      </rPr>
      <t xml:space="preserve">
(Nombre fiscal de la empresa)</t>
    </r>
  </si>
  <si>
    <r>
      <t>Nº de CUIT, Dirección, Teléfono</t>
    </r>
    <r>
      <rPr>
        <i/>
        <sz val="10"/>
        <color theme="1"/>
        <rFont val="Arial"/>
        <family val="2"/>
        <scheme val="major"/>
      </rPr>
      <t xml:space="preserve">
(Datos de la empresa)</t>
    </r>
  </si>
  <si>
    <r>
      <t>Descripción del
bien/ servicio (b)</t>
    </r>
    <r>
      <rPr>
        <i/>
        <sz val="10"/>
        <color theme="1"/>
        <rFont val="Arial"/>
        <family val="2"/>
        <scheme val="major"/>
      </rPr>
      <t xml:space="preserve">
Características de los bienes/ servicios</t>
    </r>
  </si>
  <si>
    <r>
      <t xml:space="preserve">Importe Unitario
</t>
    </r>
    <r>
      <rPr>
        <i/>
        <sz val="10"/>
        <color theme="1"/>
        <rFont val="Arial"/>
        <family val="2"/>
        <scheme val="major"/>
      </rPr>
      <t>(moneda nacional)</t>
    </r>
  </si>
  <si>
    <r>
      <t xml:space="preserve">Importe Total
 IVA incluido
</t>
    </r>
    <r>
      <rPr>
        <i/>
        <u/>
        <sz val="10"/>
        <color theme="1"/>
        <rFont val="Arial"/>
        <family val="2"/>
        <scheme val="major"/>
      </rPr>
      <t>(moneda nacional)</t>
    </r>
  </si>
  <si>
    <r>
      <t xml:space="preserve">Importe Total
</t>
    </r>
    <r>
      <rPr>
        <i/>
        <sz val="10"/>
        <color theme="1"/>
        <rFont val="Arial"/>
        <family val="2"/>
        <scheme val="major"/>
      </rPr>
      <t>(moneda extranjera)</t>
    </r>
  </si>
  <si>
    <r>
      <t xml:space="preserve">Forma de Pago 
</t>
    </r>
    <r>
      <rPr>
        <i/>
        <sz val="10"/>
        <color theme="1"/>
        <rFont val="Arial"/>
        <family val="2"/>
        <scheme val="major"/>
      </rPr>
      <t>(Contado o Cheque)</t>
    </r>
  </si>
  <si>
    <r>
      <t xml:space="preserve">Observaciones </t>
    </r>
    <r>
      <rPr>
        <i/>
        <sz val="10"/>
        <color theme="1"/>
        <rFont val="Arial"/>
        <family val="2"/>
        <scheme val="major"/>
      </rPr>
      <t xml:space="preserve">
(se debe incluir toda aquella característica que no ha sido posible incluir anteriormente)</t>
    </r>
  </si>
  <si>
    <t>Tiene una resolución de 1920px-1080px.</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</si>
  <si>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</si>
  <si>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Trebuchet MS"/>
      </rPr>
      <t xml:space="preserve">Importe Unitario
</t>
    </r>
    <r>
      <rPr>
        <i/>
        <sz val="8"/>
        <color theme="1"/>
        <rFont val="Trebuchet MS"/>
      </rPr>
      <t>(moneda nacional)</t>
    </r>
  </si>
  <si>
    <t xml:space="preserve">CONTADO </t>
  </si>
  <si>
    <t xml:space="preserve">FALABELLA </t>
  </si>
  <si>
    <t>Con velocidades de lectura y escritura sostenidas de hasta 3500/3000 MB por segundo, iluminación RGB personalizable y una gran cantidad de características que mejoran el rendimiento</t>
  </si>
  <si>
    <t>El Kingston A400 SA400S37/240G 240 GB ofrece una transferencia de datos de 550 MB/s en lectura y 490 MB/s en escritura, para un rendimiento óptimo.</t>
  </si>
  <si>
    <t>Un procesador Intel® Xeon® serie E-2336 con hasta 8 núcleos por procesador</t>
  </si>
  <si>
    <t>Velocidad de reloj de 3200 MHz.</t>
  </si>
  <si>
    <t>Sensor de alta precisión</t>
  </si>
  <si>
    <r>
      <rPr>
        <b/>
        <sz val="10"/>
        <color theme="1"/>
        <rFont val="Arial"/>
      </rPr>
      <t xml:space="preserve">Importe Total
</t>
    </r>
    <r>
      <rPr>
        <b/>
        <i/>
        <sz val="8"/>
        <color theme="1"/>
        <rFont val="Arial"/>
      </rPr>
      <t>(moneda extranjera)</t>
    </r>
  </si>
  <si>
    <t>Posee rueda de desplazamiento.</t>
  </si>
  <si>
    <t>Procesador AMD RYZEN R7 5825U 8 NUCELOS</t>
  </si>
  <si>
    <t>Escudo de privacidad de la cámara WEB física</t>
  </si>
  <si>
    <t>HP Fast Charge. Carga de 0 a 50% en aproximadamente 45 min</t>
  </si>
  <si>
    <t>Soporte de color: 16,7 millones</t>
  </si>
  <si>
    <t xml:space="preserve">M </t>
  </si>
  <si>
    <t>Soluciones de almacenamiento Toshiba de la región EMEA –</t>
  </si>
  <si>
    <t>Mayor velocidad de Lectura y Escritura: más eficiencia para mayor performance de tus máquinas</t>
  </si>
  <si>
    <t>El primer servidor de placa única x86 hackable del mundo: ZimaBoard es un servidor de placa única de bajo costo diseñado exclusivamente para fabricantes</t>
  </si>
  <si>
    <t>Memoria con formato SODIMM.</t>
  </si>
  <si>
    <t>Iluminación RGB dinámica de diez zonas: Ilumina tu sistema con diez LEDs RGB ultra brillantes direccionables individualmente por módulo</t>
  </si>
  <si>
    <t>La Kingston 8GB DDR4 PC4-3200MHz es un modulo con 260 pines, ideal para armar tu nuevo sistema o actualizar la RAM para darle mayor capacidad, su velocidad de reloj a 3200Mhz sirve en 0,625 nano segundos</t>
  </si>
  <si>
    <t>Compatibilidad con Microsoft® DirectX™ 12</t>
  </si>
  <si>
    <t xml:space="preserve">COMPULAGO </t>
  </si>
  <si>
    <t>Processador Gráfico AMD Radeon RX 550, PCI Express x16 Gen3 (usa x8), DirectX 12, OpenGL 4.5, Ddr5 2GB, reloj del procesador Hasta 1183MHz</t>
  </si>
  <si>
    <t>Soporta Procesadores de 12ª y 13ª Generación Intel® Core™ (Socket 1700)</t>
  </si>
  <si>
    <t>https://www.falabella.com.co/falabella-co/product/3032470/Teclado-Logitech-Inalambrico-K400-Plus-con-touch-pad-para-TV.-Apto-para-TV-y-PC/3032470</t>
  </si>
  <si>
    <t>Teclado Logitech Inalámbrico K400 Plus con touch pad para TV. Apto para TV y PC</t>
  </si>
  <si>
    <t>Funciona con Windows 7, Windows 8, Windows 10 o posteriores, Android 7.0 o posteriores, Chrome OS - Puerto USB - Conexión a Internet (para descarga de software opcional)</t>
  </si>
  <si>
    <t>https://www.mercadolibre.com.co/teclado-mecanico-gamer-unitec-mk20-retroiluminado-color-del-teclado-plateado/p/MCO23026811?pdp_filters=item_id:MCO1366192149#is_advertising=true&amp;searchVariation=MCO23026811&amp;position=1&amp;search_layout=stack&amp;type=pad&amp;tracking_id=0694a9e8-3b57-4bb8-af1f-b5fae4bf605b&amp;is_advertising=true&amp;ad_domain=VQCATCORE_LST&amp;ad_position=1&amp;ad_click_id=YjRlZTZiMmUtNzVkYS00NDYyLWJjMmUtNzBmZjkzNTY3Yzlj</t>
  </si>
  <si>
    <t>Teclado Mecánico Gamer Unitec Mk20 Retroiluminado Color del teclado Plateado</t>
  </si>
  <si>
    <t>Este teclado Unitec de alto rendimiento permite que puedas disfrutar de horas ilimitadas de juegos. Está diseñado especialmente para que puedas expresar tanto tus habilidades como tu estilo. Podrás mejorar tu experiencia de gaming</t>
  </si>
  <si>
    <t>https://www.compulago.com/producto/teclado-usb-genius-slimstar-230-multimedia-362702337905/</t>
  </si>
  <si>
    <t>TECLADO USB GENIUS SLIMSTAR 230 MULTIMEDIA</t>
  </si>
  <si>
    <t>Referencia SlimStar 230</t>
  </si>
  <si>
    <t xml:space="preserve"> </t>
  </si>
  <si>
    <t>Resolución de 8000dpi.</t>
  </si>
  <si>
    <t>Tecnología Lightspeed para una conexión inalámbrica ultrarrápida.</t>
  </si>
  <si>
    <t>Licencia para equipo usado, no transferible, muere con la maquina, incluye DVD de instalación</t>
  </si>
  <si>
    <t>El sistema operativo primordial del los computadores que se usaran para el desarrollo del sistema web</t>
  </si>
  <si>
    <t>Speed Logic</t>
  </si>
  <si>
    <t>+57 3042156143</t>
  </si>
  <si>
    <t>contado y tranferencias bancarias</t>
  </si>
  <si>
    <t>Computador de gran alcance con procesador  RYZ 5 9600X., acondicionado para ejecutar multitareas administrativas, domesticas, educativas e interactivas a gran velocidad</t>
  </si>
  <si>
    <t>Falabella</t>
  </si>
  <si>
    <t>https://www.falabella.com.co/falabella-co/product/130529098/COMPUTADOR-GAMER-RYZEN-5-5600GT-16GB-RAM-SSD-1TB-MONITOR-22-FHD+-COMBO/130529099?kid=shopp274fa&amp;gclsrc=aw.ds&amp;gad_source=1&amp;gad_campaignid=21991509355&amp;gbraid=0AAAAADtuoyRxsUS_iXJxgQjIarRnj6Giv&amp;gclid=CjwKCAiA55rJBhByEiwAFkY1QFU-kBWHNMnXjcEBhY7gZWxNiIoMdeWFp-q7uxEgRi4wbg3fhVJ02RoCY4sQAvD_BwE</t>
  </si>
  <si>
    <t>Este PC de alto rendimiento está diseñado para jugadores exigentes, creadores de contenido y usuarios que requieren una máquina potente, moderna y altamente eficiente. Equipado con un procesador AMD Ryzen 5 9600X, esta configuración ofrece una velocidad sobresaliente y una capacidad de respuesta ideal para gaming competitivo, edición multimedia, modelado 3D ligero y multitarea intensiva.</t>
  </si>
  <si>
    <r>
      <rPr>
        <sz val="10"/>
        <color theme="1"/>
        <rFont val="Arial"/>
        <family val="2"/>
        <scheme val="minor"/>
      </rPr>
      <t>Este PC Gamer ofrece un excelente equilibrio entre rendimiento, velocidad y eficiencia, ideal tanto para juegos casuales como para tareas de productividad, estudio, diseño ligero y entretenimiento diario. Está equipado con un procesador AMD Ryzen 5 5600G, que integra gráficos Radeon Vega 7, ofreciendo un desempeño ágil en aplicaciones gráficas básicas y juegos de baja a media exigencia. Su arquitectura de 6 núcleos y 12 hilos, con una velocidad turbo de hasta 4.4 GHz, garantiza una experiencia fluida incluso en multitarea</t>
    </r>
    <r>
      <rPr>
        <sz val="10"/>
        <color rgb="FF3C4B71"/>
        <rFont val="Arial"/>
        <family val="2"/>
        <scheme val="minor"/>
      </rPr>
      <t>.</t>
    </r>
  </si>
  <si>
    <t>contado y con tarjeta bancaria o tarjeta falabella</t>
  </si>
  <si>
    <t>Procesador: AMD Ryzen 5
Memoria RAM: 16GB
Características de la pantalla: Anti glare,LED,FHD
Núcleos del procesador: Hexa core
Capacidad de almacenamiento: 1 TB</t>
  </si>
  <si>
    <t>Alkosto</t>
  </si>
  <si>
    <t>https://www.alkosto.com/computador-portatil-asus-vivobook-go-156-pulgadas-e1504fa/p/4711387322925</t>
  </si>
  <si>
    <t>El portátil ASUS E1504FA-NJ748W es una excelente opción para estudiantes, trabajadores y usuarios que necesitan un equipo confiable, ligero y eficiente para tareas de nivel medio como ofimática, navegación, videollamadas, clases virtuales, gestión de archivos y uso de aplicaciones cotidianas.
Equipado con un procesador AMD Ryzen 5 7520U de 4 núcleos y velocidad de 2.8 GHz, ofrece un rendimiento sólido, eficiente y equilibrado para multitarea moderada. Sus 8 GB de memoria RAM permiten trabajar con varias aplicaciones simultáneamente, mientras que su unidad de estado sólido SSD de 512 GB proporciona arranques rápidos, menor tiempo de carga y espacio suficiente para documentos, fotos, programas y contenido multimedia.</t>
  </si>
  <si>
    <t>Computador Portátil ASUS Vivobook Go 15.6" Pulgadas E1504FA - AMD Ryzen 5 - RAM 8GB - Disco SSD 512 GB - Negro</t>
  </si>
  <si>
    <t>contado y con tarjeta bancaria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</si>
</sst>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quot;$&quot;#,##0_);[Red]\(&quot;$&quot;#,##0\)"/>
    <numFmt numFmtId="165" formatCode="&quot;$&quot;#,##0.00_);[Red]\(&quot;$&quot;#,##0.00\)"/>
    <numFmt numFmtId="166" formatCode="_(&quot;$&quot;* #,##0.00_);_(&quot;$&quot;* \(#,##0.00\);_(&quot;$&quot;* &quot;-&quot;??_);_(@_)"/>
    <numFmt numFmtId="167" formatCode="_([$$-409]* #,##0.00_);_([$$-409]* \(#,##0.00\);_([$$-409]* &quot;-&quot;??_);_(@_)"/>
    <numFmt numFmtId="168" formatCode="_-[$$-240A]\ * #,##0.00_-;\-[$$-240A]\ * #,##0.00_-;_-[$$-240A]\ * &quot;-&quot;??_-;_-@_-"/>
    <numFmt numFmtId="169" formatCode="_-[$$-409]* #,##0.00_ ;_-[$$-409]* \-#,##0.00\ ;_-[$$-409]* &quot;-&quot;??_ ;_-@_ "/>
  </numFmts>
  <fonts count="52">
    <font>
      <sz val="10"/>
      <color rgb="FF000000"/>
      <name val="Arial"/>
      <scheme val="minor"/>
    </font>
    <font>
      <sz val="10"/>
      <color theme="1"/>
      <name val="Arial"/>
    </font>
    <font>
      <b/>
      <sz val="12"/>
      <color theme="1"/>
      <name val="Arial"/>
    </font>
    <font>
      <sz val="10"/>
      <name val="Arial"/>
    </font>
    <font>
      <b/>
      <sz val="10"/>
      <color theme="1"/>
      <name val="Arial"/>
    </font>
    <font>
      <b/>
      <sz val="10"/>
      <color theme="1"/>
      <name val="Trebuchet MS"/>
    </font>
    <font>
      <b/>
      <u/>
      <sz val="10"/>
      <color theme="1"/>
      <name val="Trebuchet MS"/>
    </font>
    <font>
      <i/>
      <sz val="10"/>
      <color theme="1"/>
      <name val="Arial"/>
    </font>
    <font>
      <sz val="10"/>
      <color theme="1"/>
      <name val="Trebuchet MS"/>
    </font>
    <font>
      <u/>
      <sz val="10"/>
      <color rgb="FF000000"/>
      <name val="Trebuchet MS"/>
    </font>
    <font>
      <sz val="10"/>
      <color theme="1"/>
      <name val="Arial Narrow"/>
    </font>
    <font>
      <sz val="10"/>
      <color rgb="FF000000"/>
      <name val="Trebuchet MS"/>
    </font>
    <font>
      <i/>
      <sz val="8"/>
      <color theme="1"/>
      <name val="Trebuchet MS"/>
    </font>
    <font>
      <i/>
      <sz val="10"/>
      <color theme="1"/>
      <name val="Trebuchet MS"/>
    </font>
    <font>
      <i/>
      <u/>
      <sz val="8"/>
      <color theme="1"/>
      <name val="Trebuchet MS"/>
    </font>
    <font>
      <i/>
      <sz val="8"/>
      <color theme="1"/>
      <name val="Arial"/>
    </font>
    <font>
      <b/>
      <i/>
      <sz val="8"/>
      <color theme="1"/>
      <name val="Arial"/>
    </font>
    <font>
      <u/>
      <sz val="10"/>
      <color theme="10"/>
      <name val="Arial"/>
      <scheme val="minor"/>
    </font>
    <font>
      <sz val="10"/>
      <color rgb="FF000000"/>
      <name val="Arial"/>
      <scheme val="minor"/>
    </font>
    <font>
      <sz val="10"/>
      <color rgb="FF222222"/>
      <name val="Inherit"/>
    </font>
    <font>
      <sz val="10"/>
      <name val="&quot;Proxima Nova&quot;"/>
    </font>
    <font>
      <b/>
      <sz val="10"/>
      <color theme="1"/>
      <name val="Arial"/>
      <family val="2"/>
      <scheme val="major"/>
    </font>
    <font>
      <i/>
      <sz val="10"/>
      <color theme="1"/>
      <name val="Arial"/>
      <family val="2"/>
      <scheme val="major"/>
    </font>
    <font>
      <b/>
      <u/>
      <sz val="10"/>
      <color theme="1"/>
      <name val="Arial"/>
      <family val="2"/>
      <scheme val="major"/>
    </font>
    <font>
      <sz val="10"/>
      <color rgb="FF000000"/>
      <name val="Arial"/>
      <family val="2"/>
      <scheme val="major"/>
    </font>
    <font>
      <u/>
      <sz val="10"/>
      <color theme="10"/>
      <name val="Arial"/>
      <family val="2"/>
      <scheme val="major"/>
    </font>
    <font>
      <sz val="10"/>
      <color theme="1"/>
      <name val="Arial"/>
      <family val="2"/>
      <scheme val="major"/>
    </font>
    <font>
      <u/>
      <sz val="10"/>
      <color rgb="FF000000"/>
      <name val="Arial"/>
      <family val="2"/>
      <scheme val="major"/>
    </font>
    <font>
      <sz val="10"/>
      <color rgb="FF444444"/>
      <name val="Arial"/>
      <family val="2"/>
      <scheme val="major"/>
    </font>
    <font>
      <i/>
      <u/>
      <sz val="10"/>
      <color theme="1"/>
      <name val="Arial"/>
      <family val="2"/>
      <scheme val="major"/>
    </font>
    <font>
      <sz val="10"/>
      <color rgb="FF231F20"/>
      <name val="Arial"/>
      <family val="2"/>
      <scheme val="major"/>
    </font>
    <font>
      <sz val="10"/>
      <color rgb="FF333333"/>
      <name val="Arial"/>
      <family val="2"/>
      <scheme val="major"/>
    </font>
    <font>
      <sz val="10"/>
      <color rgb="FF666666"/>
      <name val="Arial"/>
      <family val="2"/>
      <scheme val="major"/>
    </font>
    <font>
      <b/>
      <sz val="10"/>
      <color rgb="FF333E48"/>
      <name val="Arial"/>
      <family val="2"/>
      <scheme val="major"/>
    </font>
    <font>
      <sz val="10"/>
      <color rgb="FF333E48"/>
      <name val="Arial"/>
      <family val="2"/>
      <scheme val="major"/>
    </font>
    <font>
      <sz val="9"/>
      <name val="Arial"/>
      <family val="2"/>
      <scheme val="major"/>
    </font>
    <font>
      <sz val="10"/>
      <name val="Arial"/>
      <family val="2"/>
      <scheme val="major"/>
    </font>
    <font>
      <b/>
      <sz val="10"/>
      <name val="Arial"/>
      <family val="2"/>
      <scheme val="major"/>
    </font>
    <font>
      <sz val="10"/>
      <color rgb="FF4A4A4A"/>
      <name val="Arial"/>
      <family val="2"/>
      <scheme val="major"/>
    </font>
    <font>
      <sz val="10"/>
      <color rgb="FF0F1111"/>
      <name val="Arial"/>
      <family val="2"/>
      <scheme val="major"/>
    </font>
    <font>
      <u/>
      <sz val="10"/>
      <name val="Arial"/>
      <family val="2"/>
      <scheme val="major"/>
    </font>
    <font>
      <sz val="10"/>
      <color theme="1"/>
      <name val="Arial"/>
      <family val="2"/>
      <scheme val="minor"/>
    </font>
    <font>
      <u/>
      <sz val="9"/>
      <name val="Arial"/>
      <family val="2"/>
      <scheme val="major"/>
    </font>
    <font>
      <sz val="11"/>
      <color rgb="FF000000"/>
      <name val="Poppins"/>
    </font>
    <font>
      <sz val="10"/>
      <color rgb="FF000000"/>
      <name val="Arial"/>
      <family val="2"/>
      <scheme val="minor"/>
    </font>
    <font>
      <sz val="10"/>
      <color rgb="FF000000"/>
      <name val="Trebuchet MS"/>
      <family val="2"/>
    </font>
    <font>
      <sz val="10"/>
      <color theme="1"/>
      <name val="Trebuchet MS"/>
      <family val="2"/>
    </font>
    <font>
      <sz val="10"/>
      <color rgb="FF231F20"/>
      <name val="Trebuchet MS"/>
      <family val="2"/>
    </font>
    <font>
      <sz val="10"/>
      <color rgb="FF3C4B71"/>
      <name val="Arial"/>
      <family val="2"/>
      <scheme val="minor"/>
    </font>
    <font>
      <b/>
      <sz val="10"/>
      <color rgb="FF4A4A4A"/>
      <name val="Segoe UI"/>
      <family val="2"/>
    </font>
    <font>
      <sz val="10"/>
      <name val="&quot;open sans&quot;"/>
    </font>
    <font>
      <sz val="10"/>
      <color rgb="FF444444"/>
      <name val="Arial"/>
      <family val="2"/>
      <scheme val="minor"/>
    </font>
  </fonts>
  <fills count="10">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
      <patternFill patternType="solid">
        <fgColor rgb="FFF5F5F5"/>
        <bgColor rgb="FFF5F5F5"/>
      </patternFill>
    </fill>
    <fill>
      <patternFill patternType="solid">
        <fgColor rgb="FFEFEFEF"/>
        <bgColor rgb="FFEFEFEF"/>
      </patternFill>
    </fill>
  </fills>
  <borders count="11">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7" fillId="0" borderId="0" applyNumberFormat="0" applyFill="0" applyBorder="0" applyAlignment="0" applyProtection="0"/>
    <xf numFmtId="166" fontId="18" fillId="0" borderId="0" applyFont="0" applyFill="0" applyBorder="0" applyAlignment="0" applyProtection="0"/>
    <xf numFmtId="9" fontId="18" fillId="0" borderId="0" applyFont="0" applyFill="0" applyBorder="0" applyAlignment="0" applyProtection="0"/>
  </cellStyleXfs>
  <cellXfs count="139">
    <xf numFmtId="0" fontId="0" fillId="0" borderId="0" xfId="0"/>
    <xf numFmtId="0" fontId="1" fillId="0" borderId="0" xfId="0" applyFont="1"/>
    <xf numFmtId="0" fontId="4" fillId="3"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6" fillId="4"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7" fillId="0" borderId="0" xfId="0" applyFont="1" applyAlignment="1">
      <alignment horizontal="center" vertical="center"/>
    </xf>
    <xf numFmtId="0" fontId="4" fillId="0" borderId="3" xfId="0" applyFont="1" applyBorder="1" applyAlignment="1">
      <alignment horizontal="center" vertical="center"/>
    </xf>
    <xf numFmtId="0" fontId="8" fillId="0" borderId="3" xfId="0" applyFont="1" applyBorder="1" applyAlignment="1">
      <alignment horizontal="center" vertical="top" wrapText="1"/>
    </xf>
    <xf numFmtId="3" fontId="8" fillId="0" borderId="3" xfId="0" applyNumberFormat="1" applyFont="1" applyBorder="1" applyAlignment="1">
      <alignment horizontal="center" vertical="top" wrapText="1"/>
    </xf>
    <xf numFmtId="0" fontId="1" fillId="0" borderId="3" xfId="0" applyFont="1" applyBorder="1"/>
    <xf numFmtId="0" fontId="8" fillId="0" borderId="3" xfId="0" applyFont="1" applyBorder="1" applyAlignment="1">
      <alignment horizontal="left" vertical="top" wrapText="1"/>
    </xf>
    <xf numFmtId="0" fontId="10" fillId="0" borderId="0" xfId="0" applyFont="1" applyAlignment="1">
      <alignment horizontal="center" vertical="center" wrapText="1"/>
    </xf>
    <xf numFmtId="0" fontId="4" fillId="3"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6" fillId="4" borderId="5"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0" borderId="7" xfId="0" applyFont="1" applyBorder="1" applyAlignment="1">
      <alignment horizontal="center" vertical="center"/>
    </xf>
    <xf numFmtId="0" fontId="1" fillId="0" borderId="7" xfId="0" applyFont="1" applyBorder="1"/>
    <xf numFmtId="0" fontId="11" fillId="0" borderId="3" xfId="0" applyFont="1" applyBorder="1" applyAlignment="1">
      <alignment horizontal="center" vertical="center" wrapText="1"/>
    </xf>
    <xf numFmtId="0" fontId="17" fillId="0" borderId="3" xfId="1" applyBorder="1" applyAlignment="1">
      <alignment horizontal="center" vertical="center" wrapText="1"/>
    </xf>
    <xf numFmtId="168" fontId="11" fillId="0" borderId="3" xfId="0" applyNumberFormat="1" applyFont="1" applyBorder="1" applyAlignment="1">
      <alignment horizontal="center" vertical="center" wrapText="1"/>
    </xf>
    <xf numFmtId="167" fontId="11" fillId="0" borderId="3" xfId="0" applyNumberFormat="1" applyFont="1" applyBorder="1" applyAlignment="1">
      <alignment horizontal="center" vertical="center" wrapText="1"/>
    </xf>
    <xf numFmtId="0" fontId="19" fillId="6" borderId="3"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4" fillId="0" borderId="4" xfId="0" applyFont="1" applyBorder="1" applyAlignment="1">
      <alignment horizontal="center" vertical="center"/>
    </xf>
    <xf numFmtId="0" fontId="8" fillId="0" borderId="6" xfId="0" applyFont="1" applyBorder="1" applyAlignment="1">
      <alignment horizontal="left" vertical="top" wrapText="1"/>
    </xf>
    <xf numFmtId="0" fontId="21" fillId="3" borderId="3" xfId="0" applyFont="1" applyFill="1" applyBorder="1" applyAlignment="1">
      <alignment horizontal="center" vertical="center" wrapText="1"/>
    </xf>
    <xf numFmtId="0" fontId="21" fillId="0" borderId="3" xfId="0" applyFont="1" applyBorder="1" applyAlignment="1">
      <alignment horizontal="center" vertical="center" wrapText="1"/>
    </xf>
    <xf numFmtId="0" fontId="23" fillId="4" borderId="3" xfId="0" applyFont="1" applyFill="1" applyBorder="1" applyAlignment="1">
      <alignment horizontal="center" vertical="center" wrapText="1"/>
    </xf>
    <xf numFmtId="0" fontId="21" fillId="5" borderId="4" xfId="0" applyFont="1" applyFill="1" applyBorder="1" applyAlignment="1">
      <alignment horizontal="center" vertical="center" wrapText="1"/>
    </xf>
    <xf numFmtId="0" fontId="24" fillId="0" borderId="4" xfId="0" applyFont="1" applyBorder="1" applyAlignment="1">
      <alignment horizontal="center" vertical="center" wrapText="1"/>
    </xf>
    <xf numFmtId="0" fontId="25" fillId="0" borderId="5" xfId="1" applyFont="1" applyBorder="1" applyAlignment="1">
      <alignment vertical="center" wrapText="1"/>
    </xf>
    <xf numFmtId="0" fontId="24" fillId="0" borderId="3" xfId="0" applyFont="1" applyBorder="1" applyAlignment="1">
      <alignment horizontal="center" vertical="center" wrapText="1"/>
    </xf>
    <xf numFmtId="165" fontId="24" fillId="0" borderId="3" xfId="0" applyNumberFormat="1" applyFont="1" applyBorder="1" applyAlignment="1">
      <alignment horizontal="center" vertical="center" wrapText="1"/>
    </xf>
    <xf numFmtId="167" fontId="26" fillId="0" borderId="3" xfId="0" applyNumberFormat="1" applyFont="1" applyBorder="1" applyAlignment="1">
      <alignment horizontal="center" vertical="top" wrapText="1"/>
    </xf>
    <xf numFmtId="0" fontId="24" fillId="6" borderId="3" xfId="0" applyFont="1" applyFill="1" applyBorder="1" applyAlignment="1">
      <alignment vertical="center" wrapText="1"/>
    </xf>
    <xf numFmtId="0" fontId="25" fillId="6" borderId="3" xfId="1" applyFont="1" applyFill="1" applyBorder="1" applyAlignment="1">
      <alignment horizontal="center" vertical="center" wrapText="1"/>
    </xf>
    <xf numFmtId="0" fontId="28" fillId="6" borderId="2" xfId="0" applyFont="1" applyFill="1" applyBorder="1" applyAlignment="1">
      <alignment horizontal="center" vertical="center" wrapText="1"/>
    </xf>
    <xf numFmtId="0" fontId="28" fillId="8" borderId="3" xfId="0" applyFont="1" applyFill="1" applyBorder="1" applyAlignment="1">
      <alignment vertical="center" wrapText="1"/>
    </xf>
    <xf numFmtId="0" fontId="25" fillId="0" borderId="3" xfId="1" applyFont="1" applyBorder="1" applyAlignment="1">
      <alignment horizontal="center" vertical="center" wrapText="1"/>
    </xf>
    <xf numFmtId="0" fontId="28" fillId="6" borderId="3" xfId="0" applyFont="1" applyFill="1" applyBorder="1" applyAlignment="1">
      <alignment horizontal="center" vertical="center" wrapText="1"/>
    </xf>
    <xf numFmtId="164" fontId="24" fillId="0" borderId="3" xfId="0" applyNumberFormat="1" applyFont="1" applyBorder="1" applyAlignment="1">
      <alignment horizontal="center" vertical="center" wrapText="1"/>
    </xf>
    <xf numFmtId="0" fontId="24" fillId="0" borderId="7" xfId="0" applyFont="1" applyBorder="1" applyAlignment="1">
      <alignment horizontal="center" vertical="center" wrapText="1"/>
    </xf>
    <xf numFmtId="0" fontId="25" fillId="0" borderId="7" xfId="1" applyFont="1" applyBorder="1" applyAlignment="1">
      <alignment horizontal="center" vertical="center" wrapText="1"/>
    </xf>
    <xf numFmtId="0" fontId="24" fillId="6" borderId="7" xfId="0" applyFont="1" applyFill="1" applyBorder="1" applyAlignment="1">
      <alignment horizontal="center" vertical="center" wrapText="1"/>
    </xf>
    <xf numFmtId="164" fontId="24" fillId="0" borderId="7" xfId="0" applyNumberFormat="1" applyFont="1" applyBorder="1" applyAlignment="1">
      <alignment horizontal="center" vertical="center" wrapText="1"/>
    </xf>
    <xf numFmtId="165" fontId="24" fillId="0" borderId="7" xfId="0" applyNumberFormat="1" applyFont="1" applyBorder="1" applyAlignment="1">
      <alignment horizontal="center" vertical="center" wrapText="1"/>
    </xf>
    <xf numFmtId="167" fontId="26" fillId="0" borderId="7" xfId="0" applyNumberFormat="1" applyFont="1" applyBorder="1" applyAlignment="1">
      <alignment horizontal="center" vertical="top" wrapText="1"/>
    </xf>
    <xf numFmtId="0" fontId="30" fillId="0" borderId="7" xfId="0" applyFont="1" applyBorder="1" applyAlignment="1">
      <alignment horizontal="center" vertical="center" wrapText="1"/>
    </xf>
    <xf numFmtId="0" fontId="31" fillId="6" borderId="7" xfId="0" applyFont="1" applyFill="1" applyBorder="1" applyAlignment="1">
      <alignment horizontal="center" vertical="center" wrapText="1"/>
    </xf>
    <xf numFmtId="0" fontId="26" fillId="0" borderId="7" xfId="0" applyFont="1" applyBorder="1" applyAlignment="1">
      <alignment horizontal="left" vertical="top" wrapText="1"/>
    </xf>
    <xf numFmtId="167" fontId="24" fillId="0" borderId="7" xfId="0" applyNumberFormat="1" applyFont="1" applyBorder="1" applyAlignment="1">
      <alignment horizontal="center" vertical="top" wrapText="1"/>
    </xf>
    <xf numFmtId="168" fontId="24" fillId="6" borderId="7" xfId="0" applyNumberFormat="1" applyFont="1" applyFill="1" applyBorder="1" applyAlignment="1">
      <alignment horizontal="center" vertical="center" wrapText="1"/>
    </xf>
    <xf numFmtId="168" fontId="24" fillId="0" borderId="7" xfId="0" applyNumberFormat="1" applyFont="1" applyBorder="1" applyAlignment="1">
      <alignment horizontal="center" vertical="center" wrapText="1"/>
    </xf>
    <xf numFmtId="0" fontId="28" fillId="6" borderId="7" xfId="0" applyFont="1" applyFill="1" applyBorder="1" applyAlignment="1">
      <alignment horizontal="center" vertical="center" wrapText="1"/>
    </xf>
    <xf numFmtId="168" fontId="24" fillId="0" borderId="7" xfId="2" applyNumberFormat="1" applyFont="1" applyBorder="1" applyAlignment="1">
      <alignment horizontal="center" vertical="center" wrapText="1"/>
    </xf>
    <xf numFmtId="168" fontId="24" fillId="6" borderId="7" xfId="2" applyNumberFormat="1" applyFont="1" applyFill="1" applyBorder="1" applyAlignment="1">
      <alignment horizontal="center" vertical="center" wrapText="1"/>
    </xf>
    <xf numFmtId="167" fontId="4" fillId="5" borderId="8" xfId="0" applyNumberFormat="1" applyFont="1" applyFill="1" applyBorder="1" applyAlignment="1">
      <alignment horizontal="center" vertical="center" wrapText="1"/>
    </xf>
    <xf numFmtId="0" fontId="32" fillId="6" borderId="7" xfId="0" applyFont="1" applyFill="1" applyBorder="1" applyAlignment="1">
      <alignment horizontal="center" vertical="center" wrapText="1"/>
    </xf>
    <xf numFmtId="167" fontId="26" fillId="0" borderId="7" xfId="3" applyNumberFormat="1" applyFont="1" applyBorder="1" applyAlignment="1">
      <alignment horizontal="center" vertical="top" wrapText="1"/>
    </xf>
    <xf numFmtId="0" fontId="33" fillId="6" borderId="7" xfId="0" applyFont="1" applyFill="1" applyBorder="1" applyAlignment="1">
      <alignment horizontal="center" vertical="center" wrapText="1"/>
    </xf>
    <xf numFmtId="0" fontId="34" fillId="6" borderId="7" xfId="0" applyFont="1" applyFill="1" applyBorder="1" applyAlignment="1">
      <alignment horizontal="center" vertical="center" wrapText="1"/>
    </xf>
    <xf numFmtId="0" fontId="1" fillId="0" borderId="4" xfId="0" applyFont="1" applyBorder="1"/>
    <xf numFmtId="0" fontId="31" fillId="6" borderId="7" xfId="0" applyFont="1" applyFill="1" applyBorder="1" applyAlignment="1">
      <alignment vertical="center" wrapText="1"/>
    </xf>
    <xf numFmtId="168" fontId="36" fillId="6" borderId="7" xfId="0" applyNumberFormat="1" applyFont="1" applyFill="1" applyBorder="1" applyAlignment="1">
      <alignment horizontal="center" vertical="center" wrapText="1"/>
    </xf>
    <xf numFmtId="0" fontId="28" fillId="8" borderId="7" xfId="0" applyFont="1" applyFill="1" applyBorder="1" applyAlignment="1">
      <alignment vertical="center" wrapText="1"/>
    </xf>
    <xf numFmtId="0" fontId="24" fillId="0" borderId="7" xfId="0" applyFont="1" applyBorder="1" applyAlignment="1">
      <alignment horizontal="left" vertical="center" wrapText="1"/>
    </xf>
    <xf numFmtId="168" fontId="37" fillId="6" borderId="7" xfId="0" applyNumberFormat="1" applyFont="1" applyFill="1" applyBorder="1" applyAlignment="1">
      <alignment horizontal="center" vertical="center" wrapText="1"/>
    </xf>
    <xf numFmtId="168" fontId="38" fillId="6" borderId="7" xfId="0" applyNumberFormat="1" applyFont="1" applyFill="1" applyBorder="1" applyAlignment="1">
      <alignment horizontal="center" vertical="center" wrapText="1"/>
    </xf>
    <xf numFmtId="0" fontId="27" fillId="0" borderId="7" xfId="0" applyFont="1" applyBorder="1" applyAlignment="1">
      <alignment horizontal="center" vertical="center" wrapText="1"/>
    </xf>
    <xf numFmtId="0" fontId="28" fillId="8" borderId="7" xfId="0" applyFont="1" applyFill="1" applyBorder="1" applyAlignment="1">
      <alignment horizontal="center" vertical="center" wrapText="1"/>
    </xf>
    <xf numFmtId="0" fontId="25" fillId="6" borderId="7" xfId="1" applyFont="1" applyFill="1" applyBorder="1" applyAlignment="1">
      <alignment horizontal="center" vertical="center" wrapText="1"/>
    </xf>
    <xf numFmtId="0" fontId="36" fillId="0" borderId="7" xfId="0" applyFont="1" applyBorder="1" applyAlignment="1">
      <alignment horizontal="center" vertical="center" wrapText="1"/>
    </xf>
    <xf numFmtId="0" fontId="40" fillId="0" borderId="7" xfId="1" applyFont="1" applyBorder="1" applyAlignment="1">
      <alignment horizontal="center" vertical="center" wrapText="1"/>
    </xf>
    <xf numFmtId="0" fontId="36" fillId="6" borderId="7" xfId="0" applyFont="1" applyFill="1" applyBorder="1" applyAlignment="1">
      <alignment horizontal="center" vertical="center" wrapText="1"/>
    </xf>
    <xf numFmtId="168" fontId="36" fillId="0" borderId="7" xfId="0" applyNumberFormat="1" applyFont="1" applyBorder="1" applyAlignment="1">
      <alignment horizontal="center" vertical="center" wrapText="1"/>
    </xf>
    <xf numFmtId="167" fontId="36" fillId="0" borderId="7" xfId="0" applyNumberFormat="1" applyFont="1" applyBorder="1" applyAlignment="1">
      <alignment horizontal="center" vertical="center" wrapText="1"/>
    </xf>
    <xf numFmtId="0" fontId="36" fillId="6" borderId="7" xfId="0" applyFont="1" applyFill="1" applyBorder="1" applyAlignment="1">
      <alignment horizontal="center" wrapText="1"/>
    </xf>
    <xf numFmtId="167" fontId="36" fillId="6" borderId="7" xfId="0" applyNumberFormat="1" applyFont="1" applyFill="1" applyBorder="1" applyAlignment="1">
      <alignment horizontal="center" vertical="center" wrapText="1"/>
    </xf>
    <xf numFmtId="166" fontId="36" fillId="0" borderId="7" xfId="2" applyFont="1" applyBorder="1" applyAlignment="1">
      <alignment horizontal="center" vertical="center" wrapText="1"/>
    </xf>
    <xf numFmtId="0" fontId="41" fillId="0" borderId="0" xfId="0" applyFont="1"/>
    <xf numFmtId="0" fontId="37" fillId="6" borderId="7" xfId="0" applyFont="1" applyFill="1" applyBorder="1" applyAlignment="1">
      <alignment horizontal="center" vertical="center" wrapText="1"/>
    </xf>
    <xf numFmtId="0" fontId="36" fillId="8" borderId="7" xfId="0" applyFont="1" applyFill="1" applyBorder="1" applyAlignment="1">
      <alignment horizontal="center" vertical="center" wrapText="1"/>
    </xf>
    <xf numFmtId="3" fontId="8" fillId="0" borderId="6" xfId="0" applyNumberFormat="1" applyFont="1" applyBorder="1" applyAlignment="1">
      <alignment horizontal="center" vertical="top" wrapText="1"/>
    </xf>
    <xf numFmtId="0" fontId="35" fillId="0" borderId="7" xfId="0" applyFont="1" applyBorder="1" applyAlignment="1">
      <alignment horizontal="center" vertical="center" wrapText="1"/>
    </xf>
    <xf numFmtId="0" fontId="36" fillId="0" borderId="7" xfId="0" applyFont="1" applyBorder="1" applyAlignment="1">
      <alignment horizontal="center" vertical="top" wrapText="1"/>
    </xf>
    <xf numFmtId="0" fontId="40" fillId="0" borderId="7" xfId="0" applyFont="1" applyBorder="1" applyAlignment="1">
      <alignment horizontal="center" vertical="top" wrapText="1"/>
    </xf>
    <xf numFmtId="166" fontId="35" fillId="0" borderId="7" xfId="2" applyFont="1" applyBorder="1" applyAlignment="1">
      <alignment horizontal="center" vertical="center" wrapText="1"/>
    </xf>
    <xf numFmtId="166" fontId="36" fillId="0" borderId="7" xfId="2" applyFont="1" applyBorder="1" applyAlignment="1">
      <alignment horizontal="center" vertical="top" wrapText="1"/>
    </xf>
    <xf numFmtId="167" fontId="36" fillId="0" borderId="7" xfId="0" applyNumberFormat="1" applyFont="1" applyBorder="1" applyAlignment="1">
      <alignment horizontal="center" vertical="top" wrapText="1"/>
    </xf>
    <xf numFmtId="0" fontId="35" fillId="9" borderId="7" xfId="0" applyFont="1" applyFill="1" applyBorder="1" applyAlignment="1">
      <alignment horizontal="center" vertical="center" wrapText="1"/>
    </xf>
    <xf numFmtId="0" fontId="42" fillId="0" borderId="7" xfId="0" applyFont="1" applyBorder="1" applyAlignment="1">
      <alignment horizontal="center" vertical="center" wrapText="1"/>
    </xf>
    <xf numFmtId="168" fontId="36" fillId="0" borderId="7" xfId="0" applyNumberFormat="1" applyFont="1" applyBorder="1" applyAlignment="1">
      <alignment horizontal="center" vertical="top" wrapText="1"/>
    </xf>
    <xf numFmtId="0" fontId="36" fillId="6" borderId="7" xfId="0" applyFont="1" applyFill="1" applyBorder="1" applyAlignment="1">
      <alignment vertical="center" wrapText="1"/>
    </xf>
    <xf numFmtId="0" fontId="36" fillId="0" borderId="7" xfId="0" applyFont="1" applyBorder="1" applyAlignment="1">
      <alignment vertical="center" wrapText="1"/>
    </xf>
    <xf numFmtId="0" fontId="40" fillId="7" borderId="7" xfId="1" applyFont="1" applyFill="1" applyBorder="1" applyAlignment="1">
      <alignment vertical="center" wrapText="1"/>
    </xf>
    <xf numFmtId="0" fontId="40" fillId="0" borderId="7" xfId="0" applyFont="1" applyBorder="1" applyAlignment="1">
      <alignment vertical="center" wrapText="1"/>
    </xf>
    <xf numFmtId="168" fontId="36" fillId="0" borderId="7" xfId="0" applyNumberFormat="1" applyFont="1" applyBorder="1" applyAlignment="1">
      <alignment vertical="center" wrapText="1"/>
    </xf>
    <xf numFmtId="0" fontId="36" fillId="7" borderId="7" xfId="0" applyFont="1" applyFill="1" applyBorder="1" applyAlignment="1">
      <alignment vertical="center" wrapText="1"/>
    </xf>
    <xf numFmtId="168" fontId="36" fillId="0" borderId="7" xfId="2" applyNumberFormat="1" applyFont="1" applyBorder="1" applyAlignment="1">
      <alignment vertical="center" wrapText="1"/>
    </xf>
    <xf numFmtId="167" fontId="36" fillId="0" borderId="7" xfId="0" applyNumberFormat="1" applyFont="1" applyBorder="1" applyAlignment="1">
      <alignment vertical="center" wrapText="1"/>
    </xf>
    <xf numFmtId="169" fontId="9" fillId="0" borderId="3" xfId="0" applyNumberFormat="1" applyFont="1" applyBorder="1" applyAlignment="1">
      <alignment horizontal="center" vertical="center" wrapText="1"/>
    </xf>
    <xf numFmtId="169" fontId="27" fillId="6" borderId="3" xfId="0" applyNumberFormat="1" applyFont="1" applyFill="1" applyBorder="1" applyAlignment="1">
      <alignment horizontal="center" vertical="center" wrapText="1"/>
    </xf>
    <xf numFmtId="169" fontId="27" fillId="6" borderId="7" xfId="0" applyNumberFormat="1" applyFont="1" applyFill="1" applyBorder="1" applyAlignment="1">
      <alignment horizontal="center" vertical="center" wrapText="1"/>
    </xf>
    <xf numFmtId="169" fontId="27" fillId="6" borderId="9" xfId="0" applyNumberFormat="1" applyFont="1" applyFill="1" applyBorder="1" applyAlignment="1">
      <alignment horizontal="center" vertical="center" wrapText="1"/>
    </xf>
    <xf numFmtId="0" fontId="24" fillId="6" borderId="10" xfId="0" applyFont="1" applyFill="1" applyBorder="1" applyAlignment="1">
      <alignment horizontal="center" vertical="center" wrapText="1"/>
    </xf>
    <xf numFmtId="0" fontId="39" fillId="6" borderId="10"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0" fillId="0" borderId="3" xfId="0" applyBorder="1" applyAlignment="1">
      <alignment horizontal="center" vertical="center"/>
    </xf>
    <xf numFmtId="43" fontId="40" fillId="6" borderId="7" xfId="0" applyNumberFormat="1" applyFont="1" applyFill="1" applyBorder="1" applyAlignment="1">
      <alignment horizontal="center" vertical="center" wrapText="1"/>
    </xf>
    <xf numFmtId="169" fontId="40" fillId="6" borderId="7" xfId="0" applyNumberFormat="1" applyFont="1" applyFill="1" applyBorder="1" applyAlignment="1">
      <alignment horizontal="center" vertical="center" wrapText="1"/>
    </xf>
    <xf numFmtId="168" fontId="40" fillId="6" borderId="7" xfId="0" applyNumberFormat="1" applyFont="1" applyFill="1" applyBorder="1" applyAlignment="1">
      <alignment horizontal="center" vertical="center" wrapText="1"/>
    </xf>
    <xf numFmtId="169" fontId="36" fillId="0" borderId="7" xfId="0" applyNumberFormat="1" applyFont="1" applyBorder="1" applyAlignment="1">
      <alignment horizontal="center" vertical="center" wrapText="1"/>
    </xf>
    <xf numFmtId="169" fontId="35" fillId="0" borderId="7" xfId="0" applyNumberFormat="1" applyFont="1" applyBorder="1" applyAlignment="1">
      <alignment horizontal="center" vertical="center" wrapText="1"/>
    </xf>
    <xf numFmtId="169" fontId="36" fillId="0" borderId="7" xfId="0" applyNumberFormat="1" applyFont="1" applyBorder="1" applyAlignment="1">
      <alignment horizontal="center" vertical="top" wrapText="1"/>
    </xf>
    <xf numFmtId="0" fontId="0" fillId="0" borderId="0" xfId="0"/>
    <xf numFmtId="0" fontId="27" fillId="6" borderId="7" xfId="0" applyFont="1" applyFill="1" applyBorder="1" applyAlignment="1">
      <alignment horizontal="center" wrapText="1"/>
    </xf>
    <xf numFmtId="0" fontId="2" fillId="0" borderId="0" xfId="0" applyFont="1" applyAlignment="1">
      <alignment horizontal="center" vertical="center"/>
    </xf>
    <xf numFmtId="0" fontId="0" fillId="0" borderId="0" xfId="0"/>
    <xf numFmtId="0" fontId="2" fillId="2" borderId="4" xfId="0" applyFont="1" applyFill="1" applyBorder="1" applyAlignment="1">
      <alignment horizontal="center" vertical="center" wrapText="1"/>
    </xf>
    <xf numFmtId="0" fontId="3" fillId="0" borderId="1" xfId="0" applyFont="1" applyBorder="1"/>
    <xf numFmtId="0" fontId="3" fillId="0" borderId="2" xfId="0" applyFont="1" applyBorder="1"/>
    <xf numFmtId="0" fontId="4" fillId="0" borderId="4" xfId="0" applyFont="1" applyBorder="1" applyAlignment="1">
      <alignment horizontal="left" vertical="center" wrapText="1"/>
    </xf>
    <xf numFmtId="0" fontId="24" fillId="0" borderId="7" xfId="0" applyFont="1" applyBorder="1" applyAlignment="1">
      <alignment horizontal="center" vertical="center" wrapText="1"/>
    </xf>
    <xf numFmtId="3" fontId="24" fillId="0" borderId="7" xfId="0" applyNumberFormat="1" applyFont="1" applyBorder="1" applyAlignment="1">
      <alignment horizontal="center" vertical="center" wrapText="1"/>
    </xf>
    <xf numFmtId="0" fontId="31" fillId="6" borderId="7" xfId="0" applyFont="1" applyFill="1" applyBorder="1" applyAlignment="1">
      <alignment horizontal="center" wrapText="1"/>
    </xf>
    <xf numFmtId="0" fontId="2" fillId="0" borderId="4" xfId="0" applyFont="1" applyBorder="1" applyAlignment="1">
      <alignment horizontal="center" vertical="center" wrapText="1"/>
    </xf>
    <xf numFmtId="168" fontId="24" fillId="0" borderId="7" xfId="0" applyNumberFormat="1" applyFont="1" applyBorder="1" applyAlignment="1">
      <alignment horizontal="center" vertical="center" wrapText="1"/>
    </xf>
    <xf numFmtId="0" fontId="43" fillId="0" borderId="0" xfId="0" applyFont="1" applyAlignment="1">
      <alignment horizontal="left"/>
    </xf>
    <xf numFmtId="0" fontId="44" fillId="6" borderId="3" xfId="0" applyFont="1" applyFill="1" applyBorder="1" applyAlignment="1">
      <alignment vertical="center" wrapText="1"/>
    </xf>
    <xf numFmtId="168" fontId="45" fillId="0" borderId="3" xfId="0" applyNumberFormat="1" applyFont="1" applyBorder="1" applyAlignment="1">
      <alignment horizontal="center" vertical="center" wrapText="1"/>
    </xf>
    <xf numFmtId="0" fontId="46" fillId="0" borderId="3" xfId="0" applyFont="1" applyBorder="1" applyAlignment="1">
      <alignment horizontal="center" vertical="top" wrapText="1"/>
    </xf>
    <xf numFmtId="0" fontId="47" fillId="0" borderId="3" xfId="0" applyFont="1" applyBorder="1" applyAlignment="1">
      <alignment horizontal="center" vertical="center" wrapText="1"/>
    </xf>
    <xf numFmtId="0" fontId="48" fillId="6" borderId="3" xfId="0" applyFont="1" applyFill="1" applyBorder="1" applyAlignment="1">
      <alignment horizontal="center" vertical="center" wrapText="1"/>
    </xf>
    <xf numFmtId="0" fontId="49" fillId="0" borderId="0" xfId="0" applyFont="1"/>
    <xf numFmtId="0" fontId="50" fillId="6" borderId="2" xfId="0" applyFont="1" applyFill="1" applyBorder="1" applyAlignment="1">
      <alignment horizontal="center" vertical="center" wrapText="1"/>
    </xf>
    <xf numFmtId="0" fontId="45" fillId="0" borderId="3" xfId="0" applyFont="1" applyBorder="1" applyAlignment="1">
      <alignment horizontal="center" vertical="center" wrapText="1"/>
    </xf>
    <xf numFmtId="0" fontId="51" fillId="0" borderId="0" xfId="0" applyFont="1" applyAlignment="1">
      <alignment vertical="center" wrapText="1"/>
    </xf>
  </cellXfs>
  <cellStyles count="4">
    <cellStyle name="Hipervínculo" xfId="1" builtinId="8"/>
    <cellStyle name="Moneda" xfId="2" builtinId="4"/>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3" Type="http://schemas.openxmlformats.org/officeDocument/2006/relationships/hyperlink" Target="https://www.compulago.com/producto/teclado-usb-genius-slimstar-230-multimedia-362702337905/" TargetMode="External"/><Relationship Id="rId2" Type="http://schemas.openxmlformats.org/officeDocument/2006/relationships/hyperlink" Target="https://www.mercadolibre.com.co/teclado-mecanico-gamer-unitec-mk20-retroiluminado-color-del-teclado-plateado/p/MCO23026811?pdp_filters=item_id:MCO1366192149" TargetMode="External"/><Relationship Id="rId1" Type="http://schemas.openxmlformats.org/officeDocument/2006/relationships/hyperlink" Target="https://www.falabella.com.co/falabella-co/product/3032470/Teclado-Logitech-Inalambrico-K400-Plus-con-touch-pad-para-TV.-Apto-para-TV-y-PC/30324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3" workbookViewId="0">
      <selection activeCell="K9" sqref="K1:K1048576"/>
    </sheetView>
  </sheetViews>
  <sheetFormatPr baseColWidth="10" defaultColWidth="12.5703125" defaultRowHeight="15" customHeight="1"/>
  <cols>
    <col min="1" max="3" width="19.140625" customWidth="1"/>
    <col min="4" max="4" width="36" customWidth="1"/>
    <col min="5" max="5" width="22.85546875" customWidth="1"/>
    <col min="6" max="6" width="17" customWidth="1"/>
    <col min="7" max="7" width="18" customWidth="1"/>
    <col min="8" max="8" width="17" customWidth="1"/>
    <col min="9" max="9" width="19.140625" customWidth="1"/>
    <col min="10" max="10" width="38.85546875" customWidth="1"/>
    <col min="11" max="26" width="10" customWidth="1"/>
  </cols>
  <sheetData>
    <row r="1" spans="1:26" ht="12.75" customHeight="1">
      <c r="A1" s="1"/>
    </row>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147" customHeight="1">
      <c r="A8" s="7" t="s">
        <v>12</v>
      </c>
      <c r="B8" s="19" t="s">
        <v>67</v>
      </c>
      <c r="C8" s="129" t="s">
        <v>68</v>
      </c>
      <c r="D8" s="130" t="s">
        <v>73</v>
      </c>
      <c r="E8" s="131">
        <v>3059000</v>
      </c>
      <c r="F8" s="21">
        <v>581210</v>
      </c>
      <c r="G8" s="22">
        <f>(E8+F8)/3900</f>
        <v>933.38717948717954</v>
      </c>
      <c r="H8" s="102">
        <f>G8*3900</f>
        <v>3640210</v>
      </c>
      <c r="I8" s="132" t="s">
        <v>69</v>
      </c>
      <c r="J8" s="24" t="s">
        <v>70</v>
      </c>
    </row>
    <row r="9" spans="1:26" ht="281.25" customHeight="1">
      <c r="A9" s="7" t="s">
        <v>15</v>
      </c>
      <c r="B9" s="133" t="s">
        <v>71</v>
      </c>
      <c r="C9" s="20" t="s">
        <v>72</v>
      </c>
      <c r="D9" s="134" t="s">
        <v>74</v>
      </c>
      <c r="E9" s="135">
        <v>1759000</v>
      </c>
      <c r="F9" s="21">
        <v>334210</v>
      </c>
      <c r="G9" s="22">
        <f t="shared" ref="G9:G10" si="0">(E9+F9)/3900</f>
        <v>536.72051282051279</v>
      </c>
      <c r="H9" s="102">
        <f t="shared" ref="H9:H10" si="1">G9*3900</f>
        <v>2093210</v>
      </c>
      <c r="I9" s="132" t="s">
        <v>75</v>
      </c>
      <c r="J9" s="136" t="s">
        <v>76</v>
      </c>
    </row>
    <row r="10" spans="1:26" ht="267.75">
      <c r="A10" s="7" t="s">
        <v>16</v>
      </c>
      <c r="B10" s="137" t="s">
        <v>77</v>
      </c>
      <c r="C10" s="20" t="s">
        <v>78</v>
      </c>
      <c r="D10" s="23" t="s">
        <v>79</v>
      </c>
      <c r="E10" s="21">
        <v>1699000</v>
      </c>
      <c r="F10" s="21">
        <v>330810</v>
      </c>
      <c r="G10" s="22">
        <f t="shared" si="0"/>
        <v>520.46410256410252</v>
      </c>
      <c r="H10" s="102">
        <f t="shared" si="1"/>
        <v>2029809.9999999998</v>
      </c>
      <c r="I10" s="8" t="s">
        <v>81</v>
      </c>
      <c r="J10" s="138" t="s">
        <v>80</v>
      </c>
    </row>
    <row r="11" spans="1:26" ht="33" customHeight="1">
      <c r="A11" s="10"/>
      <c r="B11" s="11"/>
      <c r="C11" s="11"/>
      <c r="D11" s="11"/>
      <c r="E11" s="11"/>
      <c r="F11" s="11"/>
      <c r="G11" s="11"/>
      <c r="H11" s="11"/>
      <c r="I11" s="11"/>
      <c r="J11" s="11"/>
    </row>
    <row r="12" spans="1:26" ht="12.75" customHeight="1"/>
    <row r="13" spans="1:26" ht="36" customHeight="1">
      <c r="A13" s="123"/>
      <c r="B13" s="121"/>
      <c r="C13" s="121"/>
      <c r="D13" s="121"/>
      <c r="E13" s="121"/>
      <c r="F13" s="121"/>
      <c r="G13" s="121"/>
      <c r="H13" s="121"/>
      <c r="I13" s="121"/>
      <c r="J13" s="122"/>
    </row>
    <row r="14" spans="1:26" ht="12.75" customHeight="1"/>
    <row r="15" spans="1:26" ht="36.75" customHeight="1">
      <c r="A15" s="116"/>
      <c r="B15" s="116"/>
      <c r="C15" s="116"/>
      <c r="D15" s="116"/>
      <c r="E15" s="116"/>
      <c r="F15" s="116"/>
      <c r="G15" s="116"/>
      <c r="H15" s="116"/>
      <c r="I15" s="116"/>
      <c r="J15" s="116"/>
    </row>
    <row r="16" spans="1:26" ht="12.75" customHeight="1">
      <c r="A16" s="116"/>
      <c r="B16" s="116"/>
      <c r="C16" s="116"/>
      <c r="D16" s="116"/>
      <c r="E16" s="116"/>
      <c r="F16" s="116"/>
      <c r="G16" s="116"/>
      <c r="H16" s="116"/>
      <c r="I16" s="116"/>
      <c r="J16" s="116"/>
    </row>
    <row r="17" spans="1:10" ht="12.75" customHeight="1">
      <c r="A17" s="116"/>
      <c r="B17" s="116"/>
      <c r="C17" s="116"/>
      <c r="D17" s="116"/>
      <c r="E17" s="116"/>
      <c r="F17" s="116"/>
      <c r="G17" s="116"/>
      <c r="H17" s="116"/>
      <c r="I17" s="116"/>
      <c r="J17" s="116"/>
    </row>
    <row r="18" spans="1:10" ht="12.75" customHeight="1">
      <c r="A18" s="116"/>
      <c r="B18" s="116"/>
      <c r="C18" s="116"/>
      <c r="D18" s="116"/>
      <c r="E18" s="116"/>
      <c r="F18" s="116"/>
      <c r="G18" s="116"/>
      <c r="H18" s="116"/>
      <c r="I18" s="116"/>
      <c r="J18" s="116"/>
    </row>
    <row r="19" spans="1:10" ht="12.75" customHeight="1">
      <c r="A19" s="116"/>
      <c r="B19" s="116"/>
      <c r="C19" s="116"/>
      <c r="D19" s="116"/>
      <c r="E19" s="116"/>
      <c r="F19" s="116"/>
      <c r="G19" s="116"/>
      <c r="H19" s="116"/>
      <c r="I19" s="116"/>
      <c r="J19" s="116"/>
    </row>
    <row r="20" spans="1:10" ht="12.75" customHeight="1">
      <c r="A20" s="116"/>
      <c r="B20" s="116"/>
      <c r="C20" s="116"/>
      <c r="D20" s="116"/>
      <c r="E20" s="116"/>
      <c r="F20" s="116"/>
      <c r="G20" s="116"/>
      <c r="H20" s="116"/>
      <c r="I20" s="116"/>
      <c r="J20" s="116"/>
    </row>
    <row r="21" spans="1:10" ht="12.75" customHeight="1">
      <c r="A21" s="116"/>
      <c r="B21" s="116"/>
      <c r="C21" s="116"/>
      <c r="D21" s="116"/>
      <c r="E21" s="116"/>
      <c r="F21" s="116"/>
      <c r="G21" s="116"/>
      <c r="H21" s="116"/>
      <c r="I21" s="116"/>
      <c r="J21" s="116"/>
    </row>
    <row r="22" spans="1:10" ht="12.75" customHeight="1"/>
    <row r="23" spans="1:10" ht="12.75" customHeight="1"/>
    <row r="24" spans="1:10" ht="12.75" customHeight="1"/>
    <row r="25" spans="1:10" ht="12.75" customHeight="1"/>
    <row r="26" spans="1:10" ht="12.75" customHeight="1">
      <c r="D26" s="12"/>
      <c r="E26" s="12"/>
      <c r="F26" s="1"/>
      <c r="G26" s="1"/>
    </row>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D2:H2"/>
    <mergeCell ref="A5:J5"/>
    <mergeCell ref="A13:J13"/>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7" workbookViewId="0">
      <selection activeCell="J10" sqref="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7" t="s">
        <v>2</v>
      </c>
      <c r="B7" s="28" t="s">
        <v>18</v>
      </c>
      <c r="C7" s="28" t="s">
        <v>19</v>
      </c>
      <c r="D7" s="28" t="s">
        <v>20</v>
      </c>
      <c r="E7" s="28" t="s">
        <v>21</v>
      </c>
      <c r="F7" s="29" t="s">
        <v>22</v>
      </c>
      <c r="G7" s="30" t="s">
        <v>23</v>
      </c>
      <c r="H7" s="28" t="s">
        <v>9</v>
      </c>
      <c r="I7" s="28" t="s">
        <v>24</v>
      </c>
      <c r="J7" s="28" t="s">
        <v>25</v>
      </c>
      <c r="K7" s="6"/>
      <c r="L7" s="6"/>
      <c r="M7" s="6"/>
      <c r="N7" s="6"/>
      <c r="O7" s="6"/>
      <c r="P7" s="6"/>
      <c r="Q7" s="6"/>
      <c r="R7" s="6"/>
      <c r="S7" s="6"/>
      <c r="T7" s="6"/>
      <c r="U7" s="6"/>
      <c r="V7" s="6"/>
      <c r="W7" s="6"/>
      <c r="X7" s="6"/>
      <c r="Y7" s="6"/>
      <c r="Z7" s="6"/>
    </row>
    <row r="8" spans="1:26" ht="75" customHeight="1">
      <c r="A8" s="28" t="s">
        <v>12</v>
      </c>
      <c r="B8" s="31"/>
      <c r="C8" s="32"/>
      <c r="D8" s="33"/>
      <c r="E8" s="34"/>
      <c r="F8" s="34"/>
      <c r="G8" s="35">
        <f>(E8+F8)/3900</f>
        <v>0</v>
      </c>
      <c r="H8" s="103">
        <f>G8*3900</f>
        <v>0</v>
      </c>
      <c r="I8" s="33" t="s">
        <v>14</v>
      </c>
      <c r="J8" s="36" t="s">
        <v>26</v>
      </c>
    </row>
    <row r="9" spans="1:26" ht="50.25" customHeight="1">
      <c r="A9" s="28" t="s">
        <v>15</v>
      </c>
      <c r="B9" s="31"/>
      <c r="C9" s="37"/>
      <c r="D9" s="38"/>
      <c r="E9" s="34"/>
      <c r="F9" s="34"/>
      <c r="G9" s="35">
        <f>(E9+F9)/3900</f>
        <v>0</v>
      </c>
      <c r="H9" s="103">
        <f t="shared" ref="H9:H10" si="0">G9*3900</f>
        <v>0</v>
      </c>
      <c r="I9" s="33" t="s">
        <v>14</v>
      </c>
      <c r="J9" s="39"/>
    </row>
    <row r="10" spans="1:26" ht="50.25" customHeight="1">
      <c r="A10" s="28" t="s">
        <v>16</v>
      </c>
      <c r="B10" s="31"/>
      <c r="C10" s="40"/>
      <c r="D10" s="41"/>
      <c r="E10" s="42"/>
      <c r="F10" s="34"/>
      <c r="G10" s="35">
        <f>(E10+F10)/3900</f>
        <v>0</v>
      </c>
      <c r="H10" s="103">
        <f t="shared" si="0"/>
        <v>0</v>
      </c>
      <c r="I10" s="33" t="s">
        <v>14</v>
      </c>
      <c r="J10" s="39"/>
    </row>
    <row r="11" spans="1:26" ht="15" hidden="1" customHeight="1">
      <c r="A11" s="10"/>
      <c r="B11" s="11"/>
      <c r="C11" s="11"/>
      <c r="D11" s="11"/>
      <c r="E11" s="11"/>
      <c r="F11" s="11"/>
      <c r="G11" s="11"/>
      <c r="H11" s="11"/>
      <c r="I11" s="11"/>
      <c r="J11" s="11"/>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5" workbookViewId="0">
      <selection activeCell="J8" sqref="J8"/>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13"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17" t="s">
        <v>12</v>
      </c>
      <c r="B8" s="43"/>
      <c r="C8" s="44"/>
      <c r="D8" s="45"/>
      <c r="E8" s="46"/>
      <c r="F8" s="47"/>
      <c r="G8" s="48">
        <f>(E8+F8)/3900</f>
        <v>0</v>
      </c>
      <c r="H8" s="104">
        <f>G8*3900</f>
        <v>0</v>
      </c>
      <c r="I8" s="43" t="s">
        <v>29</v>
      </c>
      <c r="J8" s="117"/>
    </row>
    <row r="9" spans="1:26" ht="77.25" customHeight="1">
      <c r="A9" s="17" t="s">
        <v>15</v>
      </c>
      <c r="B9" s="49"/>
      <c r="C9" s="44"/>
      <c r="D9" s="50"/>
      <c r="E9" s="46"/>
      <c r="F9" s="43"/>
      <c r="G9" s="48">
        <f t="shared" ref="G9:G10" si="0">(E9+F9)/3900</f>
        <v>0</v>
      </c>
      <c r="H9" s="104">
        <f t="shared" ref="H9:H10" si="1">G9*3900</f>
        <v>0</v>
      </c>
      <c r="I9" s="43"/>
      <c r="J9" s="126" t="s">
        <v>31</v>
      </c>
    </row>
    <row r="10" spans="1:26" ht="50.25" customHeight="1">
      <c r="A10" s="17" t="s">
        <v>16</v>
      </c>
      <c r="B10" s="124"/>
      <c r="C10" s="43"/>
      <c r="D10" s="124"/>
      <c r="E10" s="125"/>
      <c r="F10" s="124"/>
      <c r="G10" s="48">
        <f t="shared" si="0"/>
        <v>0</v>
      </c>
      <c r="H10" s="104">
        <f t="shared" si="1"/>
        <v>0</v>
      </c>
      <c r="I10" s="43"/>
      <c r="J10" s="126"/>
    </row>
    <row r="11" spans="1:26" ht="15" hidden="1" customHeight="1">
      <c r="A11" s="18"/>
      <c r="B11" s="124"/>
      <c r="C11" s="43"/>
      <c r="D11" s="124"/>
      <c r="E11" s="125"/>
      <c r="F11" s="124"/>
      <c r="G11" s="51"/>
      <c r="H11" s="51"/>
      <c r="I11" s="51"/>
      <c r="J11" s="51"/>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D2:H2"/>
    <mergeCell ref="A5:J5"/>
    <mergeCell ref="A13:J13"/>
    <mergeCell ref="A15:J15"/>
    <mergeCell ref="B10:B11"/>
    <mergeCell ref="D10:D11"/>
    <mergeCell ref="E10:E11"/>
    <mergeCell ref="F10:F11"/>
    <mergeCell ref="J9:J10"/>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7" workbookViewId="0">
      <selection activeCell="J9" sqref="J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43"/>
      <c r="C8" s="44"/>
      <c r="D8" s="45"/>
      <c r="E8" s="53"/>
      <c r="F8" s="54">
        <f>E8*1.19</f>
        <v>0</v>
      </c>
      <c r="G8" s="52">
        <f>(E8+F8)/3900</f>
        <v>0</v>
      </c>
      <c r="H8" s="104">
        <f>G8*3900</f>
        <v>0</v>
      </c>
      <c r="I8" s="43"/>
      <c r="J8" s="45" t="s">
        <v>32</v>
      </c>
    </row>
    <row r="9" spans="1:26" ht="50.25" customHeight="1">
      <c r="A9" s="25" t="s">
        <v>15</v>
      </c>
      <c r="B9" s="43"/>
      <c r="C9" s="44"/>
      <c r="D9" s="55"/>
      <c r="E9" s="53"/>
      <c r="F9" s="54">
        <f t="shared" ref="F9:F10" si="0">E9*1.19</f>
        <v>0</v>
      </c>
      <c r="G9" s="52">
        <f t="shared" ref="G9:G10" si="1">(E9+F9)/3900</f>
        <v>0</v>
      </c>
      <c r="H9" s="104">
        <f t="shared" ref="H9:H10" si="2">G9*3900</f>
        <v>0</v>
      </c>
      <c r="I9" s="43"/>
      <c r="J9" s="45"/>
    </row>
    <row r="10" spans="1:26" ht="50.25" customHeight="1">
      <c r="A10" s="25" t="s">
        <v>16</v>
      </c>
      <c r="B10" s="43"/>
      <c r="C10" s="43"/>
      <c r="D10" s="43"/>
      <c r="E10" s="54"/>
      <c r="F10" s="54">
        <f t="shared" si="0"/>
        <v>0</v>
      </c>
      <c r="G10" s="52">
        <f t="shared" si="1"/>
        <v>0</v>
      </c>
      <c r="H10" s="104">
        <f t="shared" si="2"/>
        <v>0</v>
      </c>
      <c r="I10" s="43" t="s">
        <v>29</v>
      </c>
      <c r="J10" s="43"/>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4" workbookViewId="0">
      <selection activeCell="J9" sqref="J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58"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43"/>
      <c r="C8" s="44"/>
      <c r="D8" s="43"/>
      <c r="E8" s="56"/>
      <c r="F8" s="56">
        <f>E8*1.19</f>
        <v>0</v>
      </c>
      <c r="G8" s="48">
        <f>(F8+E8)/3900</f>
        <v>0</v>
      </c>
      <c r="H8" s="104">
        <f>G8*3900</f>
        <v>0</v>
      </c>
      <c r="I8" s="43"/>
      <c r="J8" s="59" t="s">
        <v>33</v>
      </c>
    </row>
    <row r="9" spans="1:26" ht="50.25" customHeight="1">
      <c r="A9" s="25" t="s">
        <v>15</v>
      </c>
      <c r="B9" s="49"/>
      <c r="C9" s="44"/>
      <c r="D9" s="45"/>
      <c r="E9" s="57"/>
      <c r="F9" s="56">
        <f>E9*1.19</f>
        <v>0</v>
      </c>
      <c r="G9" s="48">
        <f>(F9+E9)/3900</f>
        <v>0</v>
      </c>
      <c r="H9" s="104">
        <f t="shared" ref="H9:H10" si="0">G9*3900</f>
        <v>0</v>
      </c>
      <c r="I9" s="43"/>
      <c r="J9" s="45"/>
    </row>
    <row r="10" spans="1:26" ht="50.25" customHeight="1">
      <c r="A10" s="25" t="s">
        <v>16</v>
      </c>
      <c r="B10" s="43"/>
      <c r="C10" s="44"/>
      <c r="D10" s="45"/>
      <c r="E10" s="57"/>
      <c r="F10" s="56">
        <f t="shared" ref="F10" si="1">E10*1.19</f>
        <v>0</v>
      </c>
      <c r="G10" s="48">
        <f t="shared" ref="G10" si="2">(F10+E10)/3900</f>
        <v>0</v>
      </c>
      <c r="H10" s="104">
        <f t="shared" si="0"/>
        <v>0</v>
      </c>
      <c r="I10" s="43" t="s">
        <v>29</v>
      </c>
      <c r="J10" s="43"/>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4" workbookViewId="0">
      <selection activeCell="I8" sqref="I8:J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43"/>
      <c r="C8" s="44"/>
      <c r="D8" s="49"/>
      <c r="E8" s="54"/>
      <c r="F8" s="54">
        <f>E8*1.19</f>
        <v>0</v>
      </c>
      <c r="G8" s="60">
        <f>(F8+E8)/3900</f>
        <v>0</v>
      </c>
      <c r="H8" s="104">
        <f>G8*3900</f>
        <v>0</v>
      </c>
      <c r="I8" s="43"/>
      <c r="J8" s="45"/>
    </row>
    <row r="9" spans="1:26" ht="50.25" customHeight="1">
      <c r="A9" s="25" t="s">
        <v>15</v>
      </c>
      <c r="B9" s="49"/>
      <c r="C9" s="44"/>
      <c r="D9" s="45"/>
      <c r="E9" s="53"/>
      <c r="F9" s="54">
        <f t="shared" ref="F9:F10" si="0">E9*1.19</f>
        <v>0</v>
      </c>
      <c r="G9" s="60">
        <f t="shared" ref="G9:G10" si="1">(F9+E9)/3900</f>
        <v>0</v>
      </c>
      <c r="H9" s="104">
        <f t="shared" ref="H9:H10" si="2">G9*3900</f>
        <v>0</v>
      </c>
      <c r="I9" s="43"/>
      <c r="J9" s="45"/>
    </row>
    <row r="10" spans="1:26" ht="50.25" customHeight="1">
      <c r="A10" s="25" t="s">
        <v>16</v>
      </c>
      <c r="B10" s="43"/>
      <c r="C10" s="44"/>
      <c r="D10" s="61"/>
      <c r="E10" s="53"/>
      <c r="F10" s="54">
        <f t="shared" si="0"/>
        <v>0</v>
      </c>
      <c r="G10" s="60">
        <f t="shared" si="1"/>
        <v>0</v>
      </c>
      <c r="H10" s="104">
        <f t="shared" si="2"/>
        <v>0</v>
      </c>
      <c r="I10" s="43" t="s">
        <v>14</v>
      </c>
      <c r="J10" s="62" t="s">
        <v>34</v>
      </c>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7" workbookViewId="0">
      <selection activeCell="J9" sqref="J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7">
        <v>0</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43"/>
      <c r="C8" s="44"/>
      <c r="D8" s="50"/>
      <c r="E8" s="69"/>
      <c r="F8" s="54">
        <f>E8*1.19</f>
        <v>0</v>
      </c>
      <c r="G8" s="48">
        <f>(E8+F8)/3900</f>
        <v>0</v>
      </c>
      <c r="H8" s="104">
        <f>G8*3900</f>
        <v>0</v>
      </c>
      <c r="I8" s="43"/>
      <c r="J8" s="64" t="s">
        <v>35</v>
      </c>
    </row>
    <row r="9" spans="1:26" ht="50.25" customHeight="1">
      <c r="A9" s="25" t="s">
        <v>15</v>
      </c>
      <c r="B9" s="49"/>
      <c r="C9" s="44"/>
      <c r="D9" s="55"/>
      <c r="E9" s="65"/>
      <c r="F9" s="54">
        <f>E9*1.19</f>
        <v>0</v>
      </c>
      <c r="G9" s="48">
        <f t="shared" ref="G9:G10" si="0">(E9+F9)/3900</f>
        <v>0</v>
      </c>
      <c r="H9" s="104">
        <f t="shared" ref="H9:H10" si="1">G9*3900</f>
        <v>0</v>
      </c>
      <c r="I9" s="43"/>
      <c r="J9" s="66"/>
    </row>
    <row r="10" spans="1:26" ht="50.25" customHeight="1">
      <c r="A10" s="25" t="s">
        <v>16</v>
      </c>
      <c r="B10" s="124"/>
      <c r="C10" s="43"/>
      <c r="D10" s="124"/>
      <c r="E10" s="128"/>
      <c r="F10" s="128">
        <f>E10*1.19</f>
        <v>0</v>
      </c>
      <c r="G10" s="48">
        <f t="shared" si="0"/>
        <v>0</v>
      </c>
      <c r="H10" s="104">
        <f t="shared" si="1"/>
        <v>0</v>
      </c>
      <c r="I10" s="43"/>
      <c r="J10" s="67"/>
    </row>
    <row r="11" spans="1:26" ht="15" hidden="1" customHeight="1">
      <c r="A11" s="63"/>
      <c r="B11" s="124"/>
      <c r="C11" s="43"/>
      <c r="D11" s="124"/>
      <c r="E11" s="128"/>
      <c r="F11" s="128"/>
      <c r="G11" s="51"/>
      <c r="H11" s="51"/>
      <c r="I11" s="51"/>
      <c r="J11" s="51"/>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A13:J13"/>
    <mergeCell ref="A15:J15"/>
    <mergeCell ref="B10:B11"/>
    <mergeCell ref="D10:D11"/>
    <mergeCell ref="E10:E11"/>
    <mergeCell ref="F10:F1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7" workbookViewId="0">
      <selection activeCell="J10" sqref="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36</v>
      </c>
      <c r="H7" s="14" t="s">
        <v>9</v>
      </c>
      <c r="I7" s="14" t="s">
        <v>10</v>
      </c>
      <c r="J7" s="14" t="s">
        <v>11</v>
      </c>
      <c r="K7" s="6"/>
      <c r="L7" s="6"/>
      <c r="M7" s="6"/>
      <c r="N7" s="6"/>
      <c r="O7" s="6"/>
      <c r="P7" s="6"/>
      <c r="Q7" s="6"/>
      <c r="R7" s="6"/>
      <c r="S7" s="6"/>
      <c r="T7" s="6"/>
      <c r="U7" s="6"/>
      <c r="V7" s="6"/>
      <c r="W7" s="6"/>
      <c r="X7" s="6"/>
      <c r="Y7" s="6"/>
      <c r="Z7" s="6"/>
    </row>
    <row r="8" spans="1:26" ht="50.25" customHeight="1">
      <c r="A8" s="25" t="s">
        <v>12</v>
      </c>
      <c r="B8" s="43"/>
      <c r="C8" s="44"/>
      <c r="D8" s="70"/>
      <c r="E8" s="53"/>
      <c r="F8" s="54">
        <f>E8*1.19</f>
        <v>0</v>
      </c>
      <c r="G8" s="48">
        <f>(E8+F8)/3900</f>
        <v>0</v>
      </c>
      <c r="H8" s="105">
        <f>G8*3900</f>
        <v>0</v>
      </c>
      <c r="I8" s="109" t="s">
        <v>29</v>
      </c>
      <c r="J8" s="106" t="s">
        <v>37</v>
      </c>
    </row>
    <row r="9" spans="1:26" ht="50.25" customHeight="1">
      <c r="A9" s="25" t="s">
        <v>15</v>
      </c>
      <c r="B9" s="49"/>
      <c r="C9" s="44"/>
      <c r="D9" s="43"/>
      <c r="E9" s="54"/>
      <c r="F9" s="54">
        <f t="shared" ref="F9:F10" si="0">E9*1.19</f>
        <v>0</v>
      </c>
      <c r="G9" s="48">
        <f t="shared" ref="G9:G10" si="1">(E9+F9)/3900</f>
        <v>0</v>
      </c>
      <c r="H9" s="105">
        <f>G9*3900</f>
        <v>0</v>
      </c>
      <c r="I9" s="109" t="s">
        <v>29</v>
      </c>
      <c r="J9" s="107"/>
    </row>
    <row r="10" spans="1:26" ht="50.25" customHeight="1">
      <c r="A10" s="25" t="s">
        <v>16</v>
      </c>
      <c r="B10" s="43"/>
      <c r="C10" s="44"/>
      <c r="D10" s="43"/>
      <c r="E10" s="53"/>
      <c r="F10" s="54">
        <f t="shared" si="0"/>
        <v>0</v>
      </c>
      <c r="G10" s="48">
        <f t="shared" si="1"/>
        <v>0</v>
      </c>
      <c r="H10" s="105">
        <f>G10*3900</f>
        <v>0</v>
      </c>
      <c r="I10" s="109" t="s">
        <v>29</v>
      </c>
      <c r="J10" s="108"/>
    </row>
    <row r="11" spans="1:26" ht="15" hidden="1" customHeight="1">
      <c r="A11" s="10"/>
      <c r="B11" s="26"/>
      <c r="C11" s="26"/>
      <c r="D11" s="26"/>
      <c r="E11" s="26"/>
      <c r="F11" s="26"/>
      <c r="G11" s="26"/>
      <c r="H11" s="26"/>
      <c r="I11" t="s">
        <v>29</v>
      </c>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4" workbookViewId="0">
      <selection activeCell="F8" sqref="F8"/>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43"/>
      <c r="C8" s="44"/>
      <c r="D8" s="45"/>
      <c r="E8" s="53"/>
      <c r="F8" s="53">
        <f>E8*1.19</f>
        <v>0</v>
      </c>
      <c r="G8" s="48">
        <f>(E8+F8)/3900</f>
        <v>0</v>
      </c>
      <c r="H8" s="104">
        <f>G8*3900</f>
        <v>0</v>
      </c>
      <c r="I8" s="43" t="s">
        <v>29</v>
      </c>
      <c r="J8" s="59" t="s">
        <v>38</v>
      </c>
    </row>
    <row r="9" spans="1:26" ht="50.25" customHeight="1">
      <c r="A9" s="25" t="s">
        <v>15</v>
      </c>
      <c r="B9" s="49"/>
      <c r="C9" s="44"/>
      <c r="D9" s="55"/>
      <c r="E9" s="54"/>
      <c r="F9" s="53">
        <f t="shared" ref="F9:F10" si="0">E9*1.19</f>
        <v>0</v>
      </c>
      <c r="G9" s="48">
        <f>(E9+F9)/3900</f>
        <v>0</v>
      </c>
      <c r="H9" s="104">
        <f>G9*3900</f>
        <v>0</v>
      </c>
      <c r="I9" s="43" t="s">
        <v>29</v>
      </c>
      <c r="J9" s="71" t="s">
        <v>39</v>
      </c>
    </row>
    <row r="10" spans="1:26" ht="50.25" customHeight="1">
      <c r="A10" s="25" t="s">
        <v>16</v>
      </c>
      <c r="B10" s="43"/>
      <c r="C10" s="44"/>
      <c r="D10" s="55"/>
      <c r="E10" s="53"/>
      <c r="F10" s="53">
        <f t="shared" si="0"/>
        <v>0</v>
      </c>
      <c r="G10" s="48">
        <f>(E10+F10)/3900</f>
        <v>0</v>
      </c>
      <c r="H10" s="104">
        <f>G10*3900</f>
        <v>0</v>
      </c>
      <c r="I10" s="43" t="s">
        <v>29</v>
      </c>
      <c r="J10" s="71" t="s">
        <v>40</v>
      </c>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A7" workbookViewId="0">
      <selection activeCell="J9" sqref="J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43"/>
      <c r="C8" s="44"/>
      <c r="D8" s="55"/>
      <c r="E8" s="53"/>
      <c r="F8" s="53">
        <f>E8*1.19</f>
        <v>0</v>
      </c>
      <c r="G8" s="48">
        <f>(F8+E8)/3900</f>
        <v>0</v>
      </c>
      <c r="H8" s="104">
        <f>G8*3900</f>
        <v>0</v>
      </c>
      <c r="I8" s="43" t="s">
        <v>14</v>
      </c>
      <c r="J8" s="71"/>
    </row>
    <row r="9" spans="1:26" ht="50.25" customHeight="1">
      <c r="A9" s="25" t="s">
        <v>15</v>
      </c>
      <c r="B9" s="43"/>
      <c r="C9" s="72"/>
      <c r="D9" s="50"/>
      <c r="E9" s="54"/>
      <c r="F9" s="53">
        <f t="shared" ref="F9:F10" si="0">E9*1.19</f>
        <v>0</v>
      </c>
      <c r="G9" s="48">
        <f t="shared" ref="G9:G10" si="1">(F9+E9)/3900</f>
        <v>0</v>
      </c>
      <c r="H9" s="104">
        <f>G9*3900</f>
        <v>0</v>
      </c>
      <c r="I9" s="43" t="s">
        <v>14</v>
      </c>
      <c r="J9" s="50"/>
    </row>
    <row r="10" spans="1:26" ht="50.25" customHeight="1">
      <c r="A10" s="25" t="s">
        <v>16</v>
      </c>
      <c r="B10" s="43"/>
      <c r="C10" s="44"/>
      <c r="D10" s="45"/>
      <c r="E10" s="53"/>
      <c r="F10" s="53">
        <f t="shared" si="0"/>
        <v>0</v>
      </c>
      <c r="G10" s="48">
        <f t="shared" si="1"/>
        <v>0</v>
      </c>
      <c r="H10" s="104">
        <f>G10*3900</f>
        <v>0</v>
      </c>
      <c r="I10" s="43" t="s">
        <v>14</v>
      </c>
      <c r="J10" s="50" t="s">
        <v>41</v>
      </c>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A7" workbookViewId="0">
      <selection activeCell="J10" sqref="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t="s">
        <v>42</v>
      </c>
    </row>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73"/>
      <c r="C8" s="74"/>
      <c r="D8" s="75"/>
      <c r="E8" s="65"/>
      <c r="F8" s="76">
        <f>E8*1.19</f>
        <v>0</v>
      </c>
      <c r="G8" s="80">
        <f>(E8+F8)/3900</f>
        <v>0</v>
      </c>
      <c r="H8" s="110">
        <f>G8*3900</f>
        <v>0</v>
      </c>
      <c r="I8" s="73" t="s">
        <v>14</v>
      </c>
      <c r="J8" s="75"/>
    </row>
    <row r="9" spans="1:26" ht="50.25" customHeight="1">
      <c r="A9" s="25" t="s">
        <v>15</v>
      </c>
      <c r="B9" s="73"/>
      <c r="C9" s="74"/>
      <c r="D9" s="75"/>
      <c r="E9" s="65"/>
      <c r="F9" s="76">
        <f t="shared" ref="F9:F10" si="0">E9*1.19</f>
        <v>0</v>
      </c>
      <c r="G9" s="80">
        <f t="shared" ref="G9:G10" si="1">(E9+F9)/3900</f>
        <v>0</v>
      </c>
      <c r="H9" s="110">
        <f>G9*3900</f>
        <v>0</v>
      </c>
      <c r="I9" s="73" t="s">
        <v>14</v>
      </c>
      <c r="J9" s="75" t="s">
        <v>43</v>
      </c>
    </row>
    <row r="10" spans="1:26" ht="50.25" customHeight="1">
      <c r="A10" s="25" t="s">
        <v>16</v>
      </c>
      <c r="B10" s="73"/>
      <c r="C10" s="74"/>
      <c r="D10" s="73"/>
      <c r="E10" s="65"/>
      <c r="F10" s="76">
        <f t="shared" si="0"/>
        <v>0</v>
      </c>
      <c r="G10" s="80">
        <f t="shared" si="1"/>
        <v>0</v>
      </c>
      <c r="H10" s="110">
        <f>G10*3900</f>
        <v>0</v>
      </c>
      <c r="I10" s="73" t="s">
        <v>14</v>
      </c>
      <c r="J10" s="75" t="s">
        <v>44</v>
      </c>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topLeftCell="B7" workbookViewId="0">
      <selection activeCell="J10" sqref="J10"/>
    </sheetView>
  </sheetViews>
  <sheetFormatPr baseColWidth="10" defaultColWidth="12.5703125" defaultRowHeight="15" customHeight="1"/>
  <cols>
    <col min="1" max="3" width="19.140625" customWidth="1"/>
    <col min="4" max="4" width="21.85546875" customWidth="1"/>
    <col min="5" max="5" width="17" customWidth="1"/>
    <col min="6" max="6" width="21.85546875"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73"/>
      <c r="C8" s="74"/>
      <c r="D8" s="75"/>
      <c r="E8" s="65"/>
      <c r="F8" s="76">
        <f>E8*1.19</f>
        <v>0</v>
      </c>
      <c r="G8" s="79">
        <f>(F8+E8)/3900</f>
        <v>0</v>
      </c>
      <c r="H8" s="111">
        <f>G8*3900</f>
        <v>0</v>
      </c>
      <c r="I8" s="73" t="s">
        <v>29</v>
      </c>
      <c r="J8" s="75" t="s">
        <v>45</v>
      </c>
    </row>
    <row r="9" spans="1:26" ht="50.25" customHeight="1">
      <c r="A9" s="25" t="s">
        <v>15</v>
      </c>
      <c r="B9" s="73"/>
      <c r="C9" s="74"/>
      <c r="D9" s="75"/>
      <c r="E9" s="65"/>
      <c r="F9" s="76">
        <f t="shared" ref="F9:F10" si="0">E9*1.19</f>
        <v>0</v>
      </c>
      <c r="G9" s="79">
        <f t="shared" ref="G9:G10" si="1">(F9+E9)/3900</f>
        <v>0</v>
      </c>
      <c r="H9" s="111">
        <f>G9*3900</f>
        <v>0</v>
      </c>
      <c r="I9" s="73" t="s">
        <v>29</v>
      </c>
      <c r="J9" s="75"/>
    </row>
    <row r="10" spans="1:26" ht="50.25" customHeight="1">
      <c r="A10" s="25" t="s">
        <v>16</v>
      </c>
      <c r="B10" s="73"/>
      <c r="C10" s="74"/>
      <c r="D10" s="75"/>
      <c r="E10" s="65"/>
      <c r="F10" s="76">
        <f t="shared" si="0"/>
        <v>0</v>
      </c>
      <c r="G10" s="79">
        <f t="shared" si="1"/>
        <v>0</v>
      </c>
      <c r="H10" s="111">
        <f>G10*3900</f>
        <v>0</v>
      </c>
      <c r="I10" s="73" t="s">
        <v>29</v>
      </c>
      <c r="J10" s="75"/>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A4" workbookViewId="0">
      <selection activeCell="E8" sqref="B8:E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73"/>
      <c r="C8" s="74"/>
      <c r="D8" s="75"/>
      <c r="E8" s="65"/>
      <c r="F8" s="76">
        <f>E8*1.19</f>
        <v>0</v>
      </c>
      <c r="G8" s="76">
        <f>(F8+E8)/3900</f>
        <v>0</v>
      </c>
      <c r="H8" s="112">
        <f>G8*3900</f>
        <v>0</v>
      </c>
      <c r="I8" s="73" t="s">
        <v>14</v>
      </c>
      <c r="J8" s="75" t="s">
        <v>46</v>
      </c>
    </row>
    <row r="9" spans="1:26" ht="50.25" customHeight="1">
      <c r="A9" s="25" t="s">
        <v>15</v>
      </c>
      <c r="B9" s="73"/>
      <c r="C9" s="74"/>
      <c r="D9" s="75"/>
      <c r="E9" s="65"/>
      <c r="F9" s="76">
        <f t="shared" ref="F9:F10" si="0">E9*1.19</f>
        <v>0</v>
      </c>
      <c r="G9" s="76">
        <f t="shared" ref="G9:G10" si="1">(F9+E9)/3900</f>
        <v>0</v>
      </c>
      <c r="H9" s="112">
        <f>G9*3900</f>
        <v>0</v>
      </c>
      <c r="I9" s="73" t="s">
        <v>14</v>
      </c>
      <c r="J9" s="75" t="s">
        <v>47</v>
      </c>
    </row>
    <row r="10" spans="1:26" ht="50.25" customHeight="1">
      <c r="A10" s="25" t="s">
        <v>16</v>
      </c>
      <c r="B10" s="73"/>
      <c r="C10" s="74"/>
      <c r="D10" s="75"/>
      <c r="E10" s="65"/>
      <c r="F10" s="76">
        <f t="shared" si="0"/>
        <v>0</v>
      </c>
      <c r="G10" s="76">
        <f t="shared" si="1"/>
        <v>0</v>
      </c>
      <c r="H10" s="112">
        <f>G10*3900</f>
        <v>0</v>
      </c>
      <c r="I10" s="73" t="s">
        <v>14</v>
      </c>
      <c r="J10" s="75" t="s">
        <v>48</v>
      </c>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topLeftCell="A4" workbookViewId="0">
      <selection activeCell="J10" sqref="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73"/>
      <c r="C8" s="74"/>
      <c r="D8" s="75"/>
      <c r="E8" s="76"/>
      <c r="F8" s="76">
        <f>E8*1.19</f>
        <v>0</v>
      </c>
      <c r="G8" s="77">
        <f>(F8+E8)/3900</f>
        <v>0</v>
      </c>
      <c r="H8" s="111">
        <f>G8*3900</f>
        <v>0</v>
      </c>
      <c r="I8" s="73" t="s">
        <v>29</v>
      </c>
      <c r="J8" s="75"/>
    </row>
    <row r="9" spans="1:26" ht="50.25" customHeight="1">
      <c r="A9" s="25" t="s">
        <v>15</v>
      </c>
      <c r="B9" s="73"/>
      <c r="C9" s="74"/>
      <c r="D9" s="75"/>
      <c r="E9" s="65"/>
      <c r="F9" s="76">
        <f t="shared" ref="F9:F10" si="0">E9*1.19</f>
        <v>0</v>
      </c>
      <c r="G9" s="77">
        <f t="shared" ref="G9:G10" si="1">(F9+E9)/3900</f>
        <v>0</v>
      </c>
      <c r="H9" s="111">
        <f>G9*3900</f>
        <v>0</v>
      </c>
      <c r="I9" s="73" t="s">
        <v>29</v>
      </c>
      <c r="J9" s="75" t="s">
        <v>49</v>
      </c>
    </row>
    <row r="10" spans="1:26" ht="50.25" customHeight="1">
      <c r="A10" s="25" t="s">
        <v>16</v>
      </c>
      <c r="B10" s="73"/>
      <c r="C10" s="74"/>
      <c r="D10" s="75"/>
      <c r="E10" s="76"/>
      <c r="F10" s="76">
        <f t="shared" si="0"/>
        <v>0</v>
      </c>
      <c r="G10" s="77">
        <f t="shared" si="1"/>
        <v>0</v>
      </c>
      <c r="H10" s="111">
        <f>G10*3900</f>
        <v>0</v>
      </c>
      <c r="I10" s="73" t="s">
        <v>29</v>
      </c>
      <c r="J10" s="75" t="s">
        <v>51</v>
      </c>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topLeftCell="A5" workbookViewId="0">
      <selection activeCell="J9" sqref="J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73"/>
      <c r="C8" s="74"/>
      <c r="D8" s="75"/>
      <c r="E8" s="76"/>
      <c r="F8" s="76">
        <f>E8*1.19</f>
        <v>0</v>
      </c>
      <c r="G8" s="77">
        <f>(F8+E8)/3900</f>
        <v>0</v>
      </c>
      <c r="H8" s="111">
        <f>G8*3900</f>
        <v>0</v>
      </c>
      <c r="I8" s="73" t="s">
        <v>29</v>
      </c>
      <c r="J8" s="78"/>
    </row>
    <row r="9" spans="1:26" ht="50.25" customHeight="1">
      <c r="A9" s="25" t="s">
        <v>15</v>
      </c>
      <c r="B9" s="73"/>
      <c r="C9" s="74"/>
      <c r="D9" s="75"/>
      <c r="E9" s="76"/>
      <c r="F9" s="76">
        <f t="shared" ref="F9:F10" si="0">E9*1.19</f>
        <v>0</v>
      </c>
      <c r="G9" s="77">
        <f>(F9+E9)/3900</f>
        <v>0</v>
      </c>
      <c r="H9" s="111">
        <f>G9*3900</f>
        <v>0</v>
      </c>
      <c r="I9" s="73" t="s">
        <v>29</v>
      </c>
      <c r="J9" s="78"/>
    </row>
    <row r="10" spans="1:26" ht="50.25" customHeight="1">
      <c r="A10" s="25" t="s">
        <v>16</v>
      </c>
      <c r="B10" s="73"/>
      <c r="C10" s="74"/>
      <c r="D10" s="75"/>
      <c r="E10" s="76"/>
      <c r="F10" s="76">
        <f t="shared" si="0"/>
        <v>0</v>
      </c>
      <c r="G10" s="77">
        <f>(F10+E10)/3900</f>
        <v>0</v>
      </c>
      <c r="H10" s="111">
        <f>G10*3900</f>
        <v>0</v>
      </c>
      <c r="I10" s="73" t="s">
        <v>29</v>
      </c>
      <c r="J10" s="78" t="s">
        <v>52</v>
      </c>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topLeftCell="A4" workbookViewId="0">
      <selection activeCell="J10" sqref="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8" t="s">
        <v>0</v>
      </c>
      <c r="E2" s="119"/>
      <c r="F2" s="119"/>
      <c r="G2" s="119"/>
      <c r="H2" s="119"/>
    </row>
    <row r="3" spans="1:26" ht="12.75" customHeight="1"/>
    <row r="4" spans="1:26" ht="12.75" customHeight="1"/>
    <row r="5" spans="1:26" ht="43.5" customHeight="1">
      <c r="A5" s="127">
        <v>0</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73" t="s">
        <v>30</v>
      </c>
      <c r="C8" s="74" t="s">
        <v>53</v>
      </c>
      <c r="D8" s="75" t="s">
        <v>54</v>
      </c>
      <c r="E8" s="65">
        <v>109900</v>
      </c>
      <c r="F8" s="76">
        <f>E8*1.19</f>
        <v>130781</v>
      </c>
      <c r="G8" s="77">
        <f>(F8+E8)/3900</f>
        <v>61.713076923076926</v>
      </c>
      <c r="H8" s="111">
        <f>G8*3900</f>
        <v>240681</v>
      </c>
      <c r="I8" s="73" t="s">
        <v>14</v>
      </c>
      <c r="J8" s="75" t="s">
        <v>55</v>
      </c>
    </row>
    <row r="9" spans="1:26" ht="50.25" customHeight="1">
      <c r="A9" s="25" t="s">
        <v>15</v>
      </c>
      <c r="B9" s="73" t="s">
        <v>13</v>
      </c>
      <c r="C9" s="74" t="s">
        <v>56</v>
      </c>
      <c r="D9" s="75" t="s">
        <v>57</v>
      </c>
      <c r="E9" s="65">
        <v>90000</v>
      </c>
      <c r="F9" s="76">
        <f t="shared" ref="F9:F10" si="0">E9*1.19</f>
        <v>107100</v>
      </c>
      <c r="G9" s="77">
        <f t="shared" ref="G9:G10" si="1">(F9+E9)/3900</f>
        <v>50.53846153846154</v>
      </c>
      <c r="H9" s="111">
        <f>G9*3900</f>
        <v>197100</v>
      </c>
      <c r="I9" s="73" t="s">
        <v>14</v>
      </c>
      <c r="J9" s="75" t="s">
        <v>58</v>
      </c>
    </row>
    <row r="10" spans="1:26" ht="50.25" customHeight="1">
      <c r="A10" s="25" t="s">
        <v>16</v>
      </c>
      <c r="B10" s="73" t="s">
        <v>50</v>
      </c>
      <c r="C10" s="74" t="s">
        <v>59</v>
      </c>
      <c r="D10" s="75" t="s">
        <v>60</v>
      </c>
      <c r="E10" s="65">
        <v>46000</v>
      </c>
      <c r="F10" s="76">
        <f t="shared" si="0"/>
        <v>54740</v>
      </c>
      <c r="G10" s="77">
        <f t="shared" si="1"/>
        <v>25.830769230769231</v>
      </c>
      <c r="H10" s="111">
        <f>G10*3900</f>
        <v>100740</v>
      </c>
      <c r="I10" s="73" t="s">
        <v>14</v>
      </c>
      <c r="J10" s="73" t="s">
        <v>61</v>
      </c>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445E4BA5-20E6-409A-A2CD-22C5627D6DB7}"/>
    <hyperlink ref="C9" r:id="rId2" location="is_advertising=true&amp;searchVariation=MCO23026811&amp;position=1&amp;search_layout=stack&amp;type=pad&amp;tracking_id=0694a9e8-3b57-4bb8-af1f-b5fae4bf605b&amp;is_advertising=true&amp;ad_domain=VQCATCORE_LST&amp;ad_position=1&amp;ad_click_id=YjRlZTZiMmUtNzVkYS00NDYyLWJjMmUtNzBmZjkzNTY3Yzlj" display="https://www.mercadolibre.com.co/teclado-mecanico-gamer-unitec-mk20-retroiluminado-color-del-teclado-plateado/p/MCO23026811?pdp_filters=item_id:MCO1366192149 - is_advertising=true&amp;searchVariation=MCO23026811&amp;position=1&amp;search_layout=stack&amp;type=pad&amp;tracking_id=0694a9e8-3b57-4bb8-af1f-b5fae4bf605b&amp;is_advertising=true&amp;ad_domain=VQCATCORE_LST&amp;ad_position=1&amp;ad_click_id=YjRlZTZiMmUtNzVkYS00NDYyLWJjMmUtNzBmZjkzNTY3Yzlj" xr:uid="{317FEA9E-D072-49D1-AB96-D278E69E1795}"/>
    <hyperlink ref="C10" r:id="rId3" xr:uid="{5F4C41A4-5269-4756-9196-E4C79B1999B4}"/>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topLeftCell="B7" workbookViewId="0">
      <selection activeCell="J10" sqref="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81" t="s">
        <v>62</v>
      </c>
    </row>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36</v>
      </c>
      <c r="H7" s="14" t="s">
        <v>9</v>
      </c>
      <c r="I7" s="14" t="s">
        <v>10</v>
      </c>
      <c r="J7" s="14" t="s">
        <v>11</v>
      </c>
      <c r="K7" s="6"/>
      <c r="L7" s="6"/>
      <c r="M7" s="6"/>
      <c r="N7" s="6"/>
      <c r="O7" s="6"/>
      <c r="P7" s="6"/>
      <c r="Q7" s="6"/>
      <c r="R7" s="6"/>
      <c r="S7" s="6"/>
      <c r="T7" s="6"/>
      <c r="U7" s="6"/>
      <c r="V7" s="6"/>
      <c r="W7" s="6"/>
      <c r="X7" s="6"/>
      <c r="Y7" s="6"/>
      <c r="Z7" s="6"/>
    </row>
    <row r="8" spans="1:26" ht="50.25" customHeight="1">
      <c r="A8" s="25" t="s">
        <v>12</v>
      </c>
      <c r="B8" s="73"/>
      <c r="C8" s="74"/>
      <c r="D8" s="75"/>
      <c r="E8" s="65"/>
      <c r="F8" s="76">
        <f>E8*1.19</f>
        <v>0</v>
      </c>
      <c r="G8" s="76">
        <f>(F8+E8)/3900</f>
        <v>0</v>
      </c>
      <c r="H8" s="76">
        <f>G8*3900</f>
        <v>0</v>
      </c>
      <c r="I8" s="73" t="s">
        <v>14</v>
      </c>
      <c r="J8" s="75" t="s">
        <v>63</v>
      </c>
    </row>
    <row r="9" spans="1:26" ht="68.25" customHeight="1">
      <c r="A9" s="25" t="s">
        <v>15</v>
      </c>
      <c r="B9" s="73"/>
      <c r="C9" s="74"/>
      <c r="D9" s="75"/>
      <c r="E9" s="68"/>
      <c r="F9" s="76">
        <f t="shared" ref="F9:F10" si="0">E9*1.19</f>
        <v>0</v>
      </c>
      <c r="G9" s="76">
        <f t="shared" ref="G9:G10" si="1">(F9+E9)/3900</f>
        <v>0</v>
      </c>
      <c r="H9" s="76">
        <f>G9*3900</f>
        <v>0</v>
      </c>
      <c r="I9" s="73" t="s">
        <v>14</v>
      </c>
      <c r="J9" s="75" t="s">
        <v>64</v>
      </c>
    </row>
    <row r="10" spans="1:26" ht="50.25" customHeight="1">
      <c r="A10" s="25" t="s">
        <v>16</v>
      </c>
      <c r="B10" s="73"/>
      <c r="C10" s="74"/>
      <c r="D10" s="82"/>
      <c r="E10" s="65"/>
      <c r="F10" s="76">
        <f t="shared" si="0"/>
        <v>0</v>
      </c>
      <c r="G10" s="76">
        <f t="shared" si="1"/>
        <v>0</v>
      </c>
      <c r="H10" s="76">
        <f>G10*3900</f>
        <v>0</v>
      </c>
      <c r="I10" s="73" t="s">
        <v>14</v>
      </c>
      <c r="J10" s="83"/>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topLeftCell="C4" workbookViewId="0">
      <selection activeCell="J8" sqref="J8:J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73"/>
      <c r="C8" s="74"/>
      <c r="D8" s="75"/>
      <c r="E8" s="65"/>
      <c r="F8" s="76">
        <f>E8*1.19</f>
        <v>0</v>
      </c>
      <c r="G8" s="77">
        <f>(F8+E8)/3900</f>
        <v>0</v>
      </c>
      <c r="H8" s="113">
        <f>G8*3900</f>
        <v>0</v>
      </c>
      <c r="I8" s="73" t="s">
        <v>14</v>
      </c>
      <c r="J8" s="75"/>
    </row>
    <row r="9" spans="1:26" ht="50.25" customHeight="1">
      <c r="A9" s="25" t="s">
        <v>15</v>
      </c>
      <c r="B9" s="73"/>
      <c r="C9" s="74"/>
      <c r="D9" s="75"/>
      <c r="E9" s="65"/>
      <c r="F9" s="76">
        <f t="shared" ref="F9:F10" si="0">E9*1.19</f>
        <v>0</v>
      </c>
      <c r="G9" s="77">
        <f t="shared" ref="G9:G10" si="1">(F9+E9)/3900</f>
        <v>0</v>
      </c>
      <c r="H9" s="113">
        <f>G9*3900</f>
        <v>0</v>
      </c>
      <c r="I9" s="73" t="s">
        <v>14</v>
      </c>
      <c r="J9" s="75"/>
    </row>
    <row r="10" spans="1:26" ht="50.25" customHeight="1">
      <c r="A10" s="25" t="s">
        <v>16</v>
      </c>
      <c r="B10" s="73"/>
      <c r="C10" s="74"/>
      <c r="D10" s="75"/>
      <c r="E10" s="68"/>
      <c r="F10" s="76">
        <f t="shared" si="0"/>
        <v>0</v>
      </c>
      <c r="G10" s="77">
        <f t="shared" si="1"/>
        <v>0</v>
      </c>
      <c r="H10" s="113">
        <f>G10*3900</f>
        <v>0</v>
      </c>
      <c r="I10" s="73" t="s">
        <v>14</v>
      </c>
      <c r="J10" s="73" t="s">
        <v>65</v>
      </c>
    </row>
    <row r="11" spans="1:26" ht="15" hidden="1" customHeight="1">
      <c r="A11" s="10"/>
      <c r="B11" s="26"/>
      <c r="C11" s="26"/>
      <c r="D11" s="26"/>
      <c r="E11" s="26"/>
      <c r="F11" s="26"/>
      <c r="G11" s="84">
        <f t="shared" ref="G11" si="2">F11+E11</f>
        <v>0</v>
      </c>
      <c r="H11" s="26"/>
      <c r="I11" s="26"/>
      <c r="J11" s="26"/>
    </row>
    <row r="12" spans="1:26" ht="12.75" customHeight="1">
      <c r="G12" s="9"/>
    </row>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topLeftCell="B7" workbookViewId="0">
      <selection activeCell="L9" sqref="L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86"/>
      <c r="C8" s="86"/>
      <c r="D8" s="87"/>
      <c r="E8" s="88"/>
      <c r="F8" s="89">
        <f t="shared" ref="F8:F9" si="0">E8*1.19</f>
        <v>0</v>
      </c>
      <c r="G8" s="90">
        <f t="shared" ref="G8:G9" si="1">(F8+E8)/3900</f>
        <v>0</v>
      </c>
      <c r="H8" s="114">
        <f>G8*3900</f>
        <v>0</v>
      </c>
      <c r="I8" s="85" t="s">
        <v>29</v>
      </c>
      <c r="J8" s="86"/>
    </row>
    <row r="9" spans="1:26" ht="50.25" customHeight="1">
      <c r="A9" s="25" t="s">
        <v>15</v>
      </c>
      <c r="B9" s="86"/>
      <c r="C9" s="87"/>
      <c r="D9" s="86"/>
      <c r="E9" s="88"/>
      <c r="F9" s="89">
        <f t="shared" si="0"/>
        <v>0</v>
      </c>
      <c r="G9" s="90">
        <f t="shared" si="1"/>
        <v>0</v>
      </c>
      <c r="H9" s="114">
        <f>G9*3900</f>
        <v>0</v>
      </c>
      <c r="I9" s="85" t="s">
        <v>29</v>
      </c>
      <c r="J9" s="91"/>
    </row>
    <row r="10" spans="1:26" ht="50.25" customHeight="1">
      <c r="A10" s="25" t="s">
        <v>16</v>
      </c>
      <c r="B10" s="85"/>
      <c r="C10" s="74"/>
      <c r="D10" s="92"/>
      <c r="E10" s="88"/>
      <c r="F10" s="89">
        <f>E10*1.19</f>
        <v>0</v>
      </c>
      <c r="G10" s="90">
        <f>(F10+E10)/3900</f>
        <v>0</v>
      </c>
      <c r="H10" s="114">
        <f>G10*3900</f>
        <v>0</v>
      </c>
      <c r="I10" s="85" t="s">
        <v>29</v>
      </c>
      <c r="J10" s="91"/>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topLeftCell="B4" workbookViewId="0">
      <selection activeCell="J10" sqref="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95"/>
      <c r="C8" s="99"/>
      <c r="D8" s="97"/>
      <c r="E8" s="100"/>
      <c r="F8" s="100">
        <f>E8*1.19</f>
        <v>0</v>
      </c>
      <c r="G8" s="101">
        <f>(F8+E8)/3900</f>
        <v>0</v>
      </c>
      <c r="H8" s="113">
        <f>G8*3900</f>
        <v>0</v>
      </c>
      <c r="I8" s="95" t="s">
        <v>14</v>
      </c>
      <c r="J8" s="95"/>
    </row>
    <row r="9" spans="1:26" ht="50.25" customHeight="1">
      <c r="A9" s="25" t="s">
        <v>15</v>
      </c>
      <c r="B9" s="95"/>
      <c r="C9" s="97"/>
      <c r="D9" s="95"/>
      <c r="E9" s="100"/>
      <c r="F9" s="100">
        <f t="shared" ref="F9:F10" si="0">E9*1.19</f>
        <v>0</v>
      </c>
      <c r="G9" s="101">
        <f>(F9+E9)/3900</f>
        <v>0</v>
      </c>
      <c r="H9" s="113">
        <f>G9*3900</f>
        <v>0</v>
      </c>
      <c r="I9" s="95" t="s">
        <v>14</v>
      </c>
      <c r="J9" s="95"/>
    </row>
    <row r="10" spans="1:26" ht="50.25" customHeight="1">
      <c r="A10" s="25" t="s">
        <v>16</v>
      </c>
      <c r="B10" s="95"/>
      <c r="C10" s="96"/>
      <c r="D10" s="97"/>
      <c r="E10" s="98"/>
      <c r="F10" s="100">
        <f t="shared" si="0"/>
        <v>0</v>
      </c>
      <c r="G10" s="101">
        <f>(F10+E10)/3900</f>
        <v>0</v>
      </c>
      <c r="H10" s="113">
        <f>G10*3900</f>
        <v>0</v>
      </c>
      <c r="I10" s="95" t="s">
        <v>14</v>
      </c>
      <c r="J10" s="95" t="s">
        <v>66</v>
      </c>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topLeftCell="B3" workbookViewId="0">
      <selection activeCell="J10" sqref="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8" t="s">
        <v>0</v>
      </c>
      <c r="E2" s="119"/>
      <c r="F2" s="119"/>
      <c r="G2" s="119"/>
      <c r="H2" s="119"/>
    </row>
    <row r="3" spans="1:26" ht="12.75" customHeight="1"/>
    <row r="4" spans="1:26" ht="12.75" customHeight="1"/>
    <row r="5" spans="1:26" ht="43.5" customHeight="1">
      <c r="A5" s="120" t="s">
        <v>1</v>
      </c>
      <c r="B5" s="121"/>
      <c r="C5" s="121"/>
      <c r="D5" s="121"/>
      <c r="E5" s="121"/>
      <c r="F5" s="121"/>
      <c r="G5" s="121"/>
      <c r="H5" s="121"/>
      <c r="I5" s="121"/>
      <c r="J5" s="122"/>
    </row>
    <row r="6" spans="1:26" ht="15.75" customHeight="1"/>
    <row r="7" spans="1:26" ht="75.75" customHeight="1">
      <c r="A7" s="2" t="s">
        <v>2</v>
      </c>
      <c r="B7" s="14" t="s">
        <v>3</v>
      </c>
      <c r="C7" s="14" t="s">
        <v>4</v>
      </c>
      <c r="D7" s="14" t="s">
        <v>5</v>
      </c>
      <c r="E7" s="14" t="s">
        <v>28</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25" t="s">
        <v>12</v>
      </c>
      <c r="B8" s="86"/>
      <c r="C8" s="86"/>
      <c r="D8" s="87"/>
      <c r="E8" s="93"/>
      <c r="F8" s="93">
        <f>E8*1.19</f>
        <v>0</v>
      </c>
      <c r="G8" s="90">
        <f>(F8+E8)/3900</f>
        <v>0</v>
      </c>
      <c r="H8" s="115">
        <f>G8*3900</f>
        <v>0</v>
      </c>
      <c r="I8" s="73"/>
      <c r="J8" s="86"/>
    </row>
    <row r="9" spans="1:26" ht="50.25" customHeight="1">
      <c r="A9" s="25" t="s">
        <v>15</v>
      </c>
      <c r="B9" s="86"/>
      <c r="C9" s="87"/>
      <c r="D9" s="86"/>
      <c r="E9" s="93"/>
      <c r="F9" s="93">
        <f t="shared" ref="F9:F10" si="0">E9*1.19</f>
        <v>0</v>
      </c>
      <c r="G9" s="90">
        <f>(F9+E9)/3900</f>
        <v>0</v>
      </c>
      <c r="H9" s="115">
        <f>G9*3900</f>
        <v>0</v>
      </c>
      <c r="I9" s="73"/>
      <c r="J9" s="86"/>
    </row>
    <row r="10" spans="1:26" ht="50.25" customHeight="1">
      <c r="A10" s="25" t="s">
        <v>16</v>
      </c>
      <c r="B10" s="73"/>
      <c r="C10" s="74"/>
      <c r="D10" s="75"/>
      <c r="E10" s="65"/>
      <c r="F10" s="93">
        <f t="shared" si="0"/>
        <v>0</v>
      </c>
      <c r="G10" s="90">
        <f>(F10+E10)/3900</f>
        <v>0</v>
      </c>
      <c r="H10" s="115">
        <f>G10*3900</f>
        <v>0</v>
      </c>
      <c r="I10" s="73"/>
      <c r="J10" s="94"/>
    </row>
    <row r="11" spans="1:26" ht="15" hidden="1" customHeight="1">
      <c r="A11" s="10"/>
      <c r="B11" s="26"/>
      <c r="C11" s="26"/>
      <c r="D11" s="26"/>
      <c r="E11" s="26"/>
      <c r="F11" s="26"/>
      <c r="G11" s="26"/>
      <c r="H11" s="26"/>
      <c r="I11" s="26"/>
      <c r="J11" s="26"/>
    </row>
    <row r="12" spans="1:26" ht="12.75" customHeight="1"/>
    <row r="13" spans="1:26" ht="138.75" customHeight="1">
      <c r="A13" s="123" t="s">
        <v>27</v>
      </c>
      <c r="B13" s="121"/>
      <c r="C13" s="121"/>
      <c r="D13" s="121"/>
      <c r="E13" s="121"/>
      <c r="F13" s="121"/>
      <c r="G13" s="121"/>
      <c r="H13" s="121"/>
      <c r="I13" s="121"/>
      <c r="J13" s="122"/>
    </row>
    <row r="14" spans="1:26" ht="12.75" customHeight="1"/>
    <row r="15" spans="1:26" ht="75" customHeight="1">
      <c r="A15" s="123" t="s">
        <v>17</v>
      </c>
      <c r="B15" s="121"/>
      <c r="C15" s="121"/>
      <c r="D15" s="121"/>
      <c r="E15" s="121"/>
      <c r="F15" s="121"/>
      <c r="G15" s="121"/>
      <c r="H15" s="121"/>
      <c r="I15" s="121"/>
      <c r="J15" s="12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Torre admin</vt:lpstr>
      <vt:lpstr>Monitor Admin</vt:lpstr>
      <vt:lpstr>Disco Sólido Admin</vt:lpstr>
      <vt:lpstr>Disco duro interno Admin</vt:lpstr>
      <vt:lpstr>Servidor Admin</vt:lpstr>
      <vt:lpstr>RAM Admin</vt:lpstr>
      <vt:lpstr>Teclado Admin</vt:lpstr>
      <vt:lpstr>Mouse Admin</vt:lpstr>
      <vt:lpstr>Equipo Portátil Desarrolladores</vt:lpstr>
      <vt:lpstr>Monitor Desarrolladores</vt:lpstr>
      <vt:lpstr> Disco mecánico Desarrolladores</vt:lpstr>
      <vt:lpstr> Servidor Desarrolladores</vt:lpstr>
      <vt:lpstr>RAM Desarrolladores</vt:lpstr>
      <vt:lpstr>Tarjeta de video Desarrolladore</vt:lpstr>
      <vt:lpstr>Procesador Desarrolladores</vt:lpstr>
      <vt:lpstr>Teclado Desarrolladores</vt:lpstr>
      <vt:lpstr>Mouse Desarrolladores</vt:lpstr>
      <vt:lpstr>software licencia</vt:lpstr>
      <vt:lpstr>licencia visual</vt:lpstr>
      <vt:lpstr>windows 11 licencia</vt:lpstr>
      <vt:lpstr>licencia SQL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APRENDIZ</cp:lastModifiedBy>
  <cp:revision/>
  <dcterms:created xsi:type="dcterms:W3CDTF">2010-11-08T17:12:41Z</dcterms:created>
  <dcterms:modified xsi:type="dcterms:W3CDTF">2025-11-26T13:22:36Z</dcterms:modified>
  <cp:category/>
  <cp:contentStatus/>
</cp:coreProperties>
</file>